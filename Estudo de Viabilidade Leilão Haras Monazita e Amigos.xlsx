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Cristiano\OneDrive\Onedrive\Documentos\"/>
    </mc:Choice>
  </mc:AlternateContent>
  <xr:revisionPtr revIDLastSave="0" documentId="13_ncr:1_{42B5D746-F8C6-4F04-B4D7-9BEFA22D8989}" xr6:coauthVersionLast="47" xr6:coauthVersionMax="47" xr10:uidLastSave="{00000000-0000-0000-0000-000000000000}"/>
  <bookViews>
    <workbookView xWindow="-120" yWindow="-120" windowWidth="20730" windowHeight="11040" xr2:uid="{B09C15A4-903F-4966-BC2B-9AE59E2FC99E}"/>
  </bookViews>
  <sheets>
    <sheet name="ESTUDO DE VIABILIDADE LEILÃO" sheetId="1" r:id="rId1"/>
  </sheets>
  <externalReferences>
    <externalReference r:id="rId2"/>
    <externalReference r:id="rId3"/>
    <externalReference r:id="rId4"/>
    <externalReference r:id="rId5"/>
    <externalReference r:id="rId6"/>
  </externalReferences>
  <definedNames>
    <definedName name="_1Mês_da">[1]INICIO!#REF!</definedName>
    <definedName name="_CAP97">[2]CENARIO!#REF!</definedName>
    <definedName name="_CAP98">[2]CENARIO!#REF!</definedName>
    <definedName name="_CAP99">[2]CENARIO!#REF!</definedName>
    <definedName name="_Fill" hidden="1">#REF!</definedName>
    <definedName name="_IMJ97">[2]CENARIO!#REF!</definedName>
    <definedName name="_IMJ98">[2]CENARIO!#REF!</definedName>
    <definedName name="_IMJ99">[2]CENARIO!#REF!</definedName>
    <definedName name="_Key1" hidden="1">#REF!</definedName>
    <definedName name="_Order1" hidden="1">255</definedName>
    <definedName name="_Order2" hidden="1">0</definedName>
    <definedName name="_Sort" hidden="1">#REF!</definedName>
    <definedName name="a">[3]TOTALIZADOR!$B$1:$B$20</definedName>
    <definedName name="_xlnm.Print_Area" localSheetId="0">'ESTUDO DE VIABILIDADE LEILÃO'!$A$1:$G$47</definedName>
    <definedName name="_xlnm.Print_Area">#REF!</definedName>
    <definedName name="COMPOR">[4]COMPOR!$D$5:$L$3169</definedName>
    <definedName name="dolar">#REF!</definedName>
    <definedName name="EXP_001">#REF!</definedName>
    <definedName name="EXP_006">#REF!</definedName>
    <definedName name="EXP_011">#REF!</definedName>
    <definedName name="EXP_016">#REF!</definedName>
    <definedName name="EXP_021">#REF!</definedName>
    <definedName name="exp_026">#REF!</definedName>
    <definedName name="exp_031">#REF!</definedName>
    <definedName name="exp_036">#REF!</definedName>
    <definedName name="exp_041">#REF!</definedName>
    <definedName name="exp_046">#REF!</definedName>
    <definedName name="EXP_051">[2]matriz!#REF!</definedName>
    <definedName name="exp_051a">[2]matriz!#REF!</definedName>
    <definedName name="exp_051b">[2]matriz!#REF!</definedName>
    <definedName name="exp_051c">[2]matriz!#REF!</definedName>
    <definedName name="exp_051d">[2]matriz!#REF!</definedName>
    <definedName name="exp_051e">[2]matriz!#REF!</definedName>
    <definedName name="exp_051f">[2]matriz!#REF!</definedName>
    <definedName name="exp_051g">[2]matriz!#REF!</definedName>
    <definedName name="exp_051h">[2]matriz!#REF!</definedName>
    <definedName name="EXP_056">#REF!</definedName>
    <definedName name="EXP_061">#REF!</definedName>
    <definedName name="EXP_066">#REF!</definedName>
    <definedName name="EXP_081">#REF!</definedName>
    <definedName name="EXP_086">#REF!</definedName>
    <definedName name="EXP_091">#REF!</definedName>
    <definedName name="EXP_096">#REF!</definedName>
    <definedName name="EXP_101">[2]matriz!#REF!</definedName>
    <definedName name="EXP_106">[2]matriz!#REF!</definedName>
    <definedName name="EXP_111">#REF!</definedName>
    <definedName name="EXP_116">#REF!</definedName>
    <definedName name="EXP_121">#REF!</definedName>
    <definedName name="EXP_126">#REF!</definedName>
    <definedName name="EXP_131">[2]matriz!#REF!</definedName>
    <definedName name="EXP_136">[2]matriz!#REF!</definedName>
    <definedName name="EXP_141">[2]matriz!#REF!</definedName>
    <definedName name="EXP_146">[2]matriz!#REF!</definedName>
    <definedName name="EXP_151">[2]matriz!#REF!</definedName>
    <definedName name="EXP_156">[2]matriz!#REF!</definedName>
    <definedName name="EXP_161">[2]matriz!#REF!</definedName>
    <definedName name="EXP_166">[2]matriz!#REF!</definedName>
    <definedName name="EXP_171">[2]matriz!#REF!</definedName>
    <definedName name="EXP_176">[2]matriz!#REF!</definedName>
    <definedName name="EXP_181">[2]matriz!#REF!</definedName>
    <definedName name="EXP_191">#REF!</definedName>
    <definedName name="EXP_196">#REF!</definedName>
    <definedName name="EXP_201">#REF!</definedName>
    <definedName name="EXP_201A">#REF!</definedName>
    <definedName name="EXP_206">#REF!</definedName>
    <definedName name="EXP_211">#REF!</definedName>
    <definedName name="exp_211a">#REF!</definedName>
    <definedName name="exp_211b">#REF!</definedName>
    <definedName name="exp_211c">#REF!</definedName>
    <definedName name="exp_211d">#REF!</definedName>
    <definedName name="exp_211e">#REF!</definedName>
    <definedName name="exp_211f">#REF!</definedName>
    <definedName name="EXP_216">#REF!</definedName>
    <definedName name="EXP_221">#REF!</definedName>
    <definedName name="EXP_226">#REF!</definedName>
    <definedName name="EXP_231">#REF!</definedName>
    <definedName name="EXP_236">#REF!</definedName>
    <definedName name="EXP_241">#REF!</definedName>
    <definedName name="EXP_246">#REF!</definedName>
    <definedName name="EXP_251">#REF!</definedName>
    <definedName name="EXP_256">#REF!</definedName>
    <definedName name="EXP_261">#REF!</definedName>
    <definedName name="EXP_266">#REF!</definedName>
    <definedName name="EXP_271">#REF!</definedName>
    <definedName name="EXP_276">#REF!</definedName>
    <definedName name="EXP_281">#REF!</definedName>
    <definedName name="EXP_286">#REF!</definedName>
    <definedName name="EXP_291">#REF!</definedName>
    <definedName name="EXP_296">#REF!</definedName>
    <definedName name="EXP_301">#REF!</definedName>
    <definedName name="EXP_306">#REF!</definedName>
    <definedName name="EXP_311">#REF!</definedName>
    <definedName name="EXP_316">#REF!</definedName>
    <definedName name="EXP_321">#REF!</definedName>
    <definedName name="EXP_326">#REF!</definedName>
    <definedName name="EXP_331">#REF!</definedName>
    <definedName name="EXP_336">#REF!</definedName>
    <definedName name="EXP_341">#REF!</definedName>
    <definedName name="EXP_346">#REF!</definedName>
    <definedName name="EXP_351">#REF!</definedName>
    <definedName name="EXP_356">#REF!</definedName>
    <definedName name="EXP_361">#REF!</definedName>
    <definedName name="EXP_366">#REF!</definedName>
    <definedName name="EXP_371">#REF!</definedName>
    <definedName name="EXP_376">#REF!</definedName>
    <definedName name="EXP_381">#REF!</definedName>
    <definedName name="EXP_386">#REF!</definedName>
    <definedName name="EXP_391">#REF!</definedName>
    <definedName name="EXP_396">#REF!</definedName>
    <definedName name="EXP_401">#REF!</definedName>
    <definedName name="EXP_406">#REF!</definedName>
    <definedName name="EXP_411">#REF!</definedName>
    <definedName name="EXP_416">#REF!</definedName>
    <definedName name="EXP_421">#REF!</definedName>
    <definedName name="EXP_426">#REF!</definedName>
    <definedName name="EXP_431">#REF!</definedName>
    <definedName name="EXP_436">#REF!</definedName>
    <definedName name="EXP_441">#REF!</definedName>
    <definedName name="EXP_446">#REF!</definedName>
    <definedName name="EXP_451">#REF!</definedName>
    <definedName name="EXP_456">#REF!</definedName>
    <definedName name="EXP_461">#REF!</definedName>
    <definedName name="EXP_466">#REF!</definedName>
    <definedName name="EXP_471">#REF!</definedName>
    <definedName name="EXP_476">#REF!</definedName>
    <definedName name="EXP_481">#REF!</definedName>
    <definedName name="EXP_486">#REF!</definedName>
    <definedName name="EXP_491">#REF!</definedName>
    <definedName name="EXP_496">#REF!</definedName>
    <definedName name="EXP_501">#REF!</definedName>
    <definedName name="EXP_506">#REF!</definedName>
    <definedName name="EXP_511">#REF!</definedName>
    <definedName name="EXP_516">#REF!</definedName>
    <definedName name="IMJ">[1]INICIO!$G$23</definedName>
    <definedName name="Mês_dados">[1]INICIO!#REF!</definedName>
    <definedName name="PESO">[1]INICIO!#REF!</definedName>
    <definedName name="REAL">[1]INICIO!#REF!</definedName>
    <definedName name="REALES">[1]INICIO!#REF!</definedName>
    <definedName name="Segmentos">[5]TOTALIZADOR!$B$1:$B$20</definedName>
    <definedName name="_xlnm.Print_Titl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3" i="1" l="1"/>
  <c r="E33" i="1"/>
  <c r="F33" i="1"/>
  <c r="G33" i="1"/>
  <c r="C33" i="1"/>
  <c r="C50" i="1" l="1"/>
  <c r="D50" i="1"/>
  <c r="E50" i="1"/>
  <c r="F50" i="1"/>
  <c r="G50" i="1"/>
  <c r="D45" i="1"/>
  <c r="C45" i="1"/>
  <c r="G44" i="1"/>
  <c r="F44" i="1"/>
  <c r="E44" i="1"/>
  <c r="D44" i="1"/>
  <c r="C44" i="1"/>
  <c r="G43" i="1"/>
  <c r="G45" i="1" s="1"/>
  <c r="F43" i="1"/>
  <c r="F45" i="1" s="1"/>
  <c r="E43" i="1"/>
  <c r="E45" i="1" s="1"/>
  <c r="D43" i="1"/>
  <c r="C43" i="1"/>
  <c r="G38" i="1"/>
  <c r="C38" i="1"/>
  <c r="G37" i="1"/>
  <c r="F37" i="1"/>
  <c r="F38" i="1" s="1"/>
  <c r="E37" i="1"/>
  <c r="E38" i="1" s="1"/>
  <c r="D37" i="1"/>
  <c r="D38" i="1" s="1"/>
  <c r="C37" i="1"/>
  <c r="G36" i="1"/>
  <c r="F36" i="1"/>
  <c r="E36" i="1"/>
  <c r="D36" i="1"/>
  <c r="C36" i="1"/>
  <c r="G35" i="1"/>
  <c r="F35" i="1"/>
  <c r="E35" i="1"/>
  <c r="D35" i="1"/>
  <c r="C35" i="1"/>
  <c r="G34" i="1"/>
  <c r="G39" i="1" s="1"/>
  <c r="F34" i="1"/>
  <c r="F39" i="1" s="1"/>
  <c r="E34" i="1"/>
  <c r="D34" i="1"/>
  <c r="C34" i="1"/>
  <c r="C39" i="1" s="1"/>
  <c r="F29" i="1"/>
  <c r="E29" i="1"/>
  <c r="G28" i="1"/>
  <c r="F28" i="1"/>
  <c r="E28" i="1"/>
  <c r="D28" i="1"/>
  <c r="C28" i="1"/>
  <c r="G27" i="1"/>
  <c r="G29" i="1" s="1"/>
  <c r="F27" i="1"/>
  <c r="E27" i="1"/>
  <c r="D27" i="1"/>
  <c r="D29" i="1" s="1"/>
  <c r="C27" i="1"/>
  <c r="C29" i="1" s="1"/>
  <c r="G23" i="1"/>
  <c r="F23" i="1"/>
  <c r="E23" i="1"/>
  <c r="D23" i="1"/>
  <c r="C23" i="1"/>
  <c r="E47" i="1" l="1"/>
  <c r="E39" i="1"/>
  <c r="G47" i="1"/>
  <c r="D39" i="1"/>
  <c r="D47" i="1" s="1"/>
  <c r="F47" i="1"/>
  <c r="C47" i="1"/>
</calcChain>
</file>

<file path=xl/sharedStrings.xml><?xml version="1.0" encoding="utf-8"?>
<sst xmlns="http://schemas.openxmlformats.org/spreadsheetml/2006/main" count="66" uniqueCount="63">
  <si>
    <t>Estudo de Viabilidade Leilão Haras Monazita e convidados</t>
  </si>
  <si>
    <t>CENÁRIO A</t>
  </si>
  <si>
    <t>CENÁRIO B</t>
  </si>
  <si>
    <t>CENÁRIO C</t>
  </si>
  <si>
    <t>CENÁRIO D</t>
  </si>
  <si>
    <t>CENÁRIO E</t>
  </si>
  <si>
    <t>FATURAMENTO &gt;&gt;&gt;&gt;&gt;&gt;&gt;</t>
  </si>
  <si>
    <t>A</t>
  </si>
  <si>
    <t>Despesas Fixas Leilão</t>
  </si>
  <si>
    <t>A.1</t>
  </si>
  <si>
    <t>A.2</t>
  </si>
  <si>
    <t>A.3</t>
  </si>
  <si>
    <t>A.4</t>
  </si>
  <si>
    <t>A.5</t>
  </si>
  <si>
    <t>A.6</t>
  </si>
  <si>
    <t>A.7</t>
  </si>
  <si>
    <t>A.8</t>
  </si>
  <si>
    <t>A.9</t>
  </si>
  <si>
    <t>A.10</t>
  </si>
  <si>
    <t>A.11</t>
  </si>
  <si>
    <t>A.12</t>
  </si>
  <si>
    <t>A.13</t>
  </si>
  <si>
    <t>Total &gt;&gt;&gt;&gt;&gt;&gt;&gt;&gt;</t>
  </si>
  <si>
    <t>B</t>
  </si>
  <si>
    <t>Receitas Fixas Leilão</t>
  </si>
  <si>
    <t>B.1</t>
  </si>
  <si>
    <t>Inscrição embriões - 20 lotes a R$ 2.500,00 cada</t>
  </si>
  <si>
    <t>B.2</t>
  </si>
  <si>
    <t>Inscrição Animais - 20 Lotes a R$ 4.000,00 cada</t>
  </si>
  <si>
    <t>C</t>
  </si>
  <si>
    <t>Despesas Variáveis Leilão</t>
  </si>
  <si>
    <t>C.1</t>
  </si>
  <si>
    <t>C.2</t>
  </si>
  <si>
    <t>Leiloeiro ( 0,5%) - A definir</t>
  </si>
  <si>
    <t>C.3</t>
  </si>
  <si>
    <t>Comissão Equipe de Venda - Primeira Parcela ( 3,33%)</t>
  </si>
  <si>
    <t>C.4</t>
  </si>
  <si>
    <t>Repasse Expo Verão ( 2,5%) - Estrutura /Banheiros /  Divulgação / MKT</t>
  </si>
  <si>
    <t>C.5</t>
  </si>
  <si>
    <t>Repasse Bruno Consultoria Técnica / Seleção ( 1%)</t>
  </si>
  <si>
    <t>C.6</t>
  </si>
  <si>
    <t>Repasse Organização Cristiano Ladeira ( 1%)</t>
  </si>
  <si>
    <t>D</t>
  </si>
  <si>
    <t>Receitas Variáveis Leilão</t>
  </si>
  <si>
    <t>D.1</t>
  </si>
  <si>
    <t>Comissão Comprador ( 8,5%)</t>
  </si>
  <si>
    <t>D.2</t>
  </si>
  <si>
    <t>Comissão Vendedor ( 8,5%)</t>
  </si>
  <si>
    <t>Resultado Leilão ( A + C - B - D ) - Haras Monazita</t>
  </si>
  <si>
    <t>Parte Elétrica - LADEIRA</t>
  </si>
  <si>
    <t>Gerador - LADEIRA</t>
  </si>
  <si>
    <t>Buffet 400 pessoas ( R$ 70,00 por pessoa) - GRUPO RAÇA</t>
  </si>
  <si>
    <t>Mobiliário / Decoração - GRUPO RAÇA</t>
  </si>
  <si>
    <t>Identidade Visual ( Lona de Fundo ) - LADEIRA</t>
  </si>
  <si>
    <t>Transmissão Leilão - LADEIRA</t>
  </si>
  <si>
    <t>Camarote Expo Verão  / Stand de vendas - LADEIRA</t>
  </si>
  <si>
    <t>Som e Telão - Jader Som  - GRUPO RAÇA</t>
  </si>
  <si>
    <t xml:space="preserve">Equipe de vendas - Concentração ( 12 pessoas) - </t>
  </si>
  <si>
    <t>Hotel Equipe de Vendas ( 12 pessoas) - GRUPO RAÇA / LADEIRA</t>
  </si>
  <si>
    <t>Catálogo / Pulseiras - LADEIRA</t>
  </si>
  <si>
    <t>Empresa Leiloeira - Emissão de Contratos Grupo Raça ( 5%)</t>
  </si>
  <si>
    <t>Cerimonialista - LADEIRA</t>
  </si>
  <si>
    <t>Despesas com viagens visitas para captação lotes - GRUPO RAÇA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</si>
</sst>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7" x14ac:knownFonts="1">
    <font>
      <sz val="10"/>
      <color rgb="FF000000"/>
      <name val="Times New Roman"/>
      <family val="1"/>
    </font>
    <font>
      <sz val="10"/>
      <color rgb="FF000000"/>
      <name val="Times New Roman"/>
      <family val="1"/>
    </font>
    <font>
      <b/>
      <sz val="30"/>
      <color rgb="FF000000"/>
      <name val="Arial Nova Light"/>
      <family val="2"/>
    </font>
    <font>
      <sz val="10"/>
      <color rgb="FF000000"/>
      <name val="Arial Nova Light"/>
      <family val="2"/>
    </font>
    <font>
      <sz val="25"/>
      <color rgb="FF000000"/>
      <name val="Arial Nova Light"/>
      <family val="2"/>
    </font>
    <font>
      <b/>
      <sz val="10"/>
      <color rgb="FF000000"/>
      <name val="Arial Nova Light"/>
      <family val="2"/>
    </font>
    <font>
      <b/>
      <sz val="10"/>
      <color rgb="FFFF0000"/>
      <name val="Arial Nova Light"/>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5" tint="0.7999816888943144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31">
    <xf numFmtId="0" fontId="0" fillId="0" borderId="0" xfId="0"/>
    <xf numFmtId="0" fontId="3" fillId="2" borderId="0" xfId="0" applyFont="1" applyFill="1" applyAlignment="1">
      <alignment horizontal="left" vertical="top"/>
    </xf>
    <xf numFmtId="0" fontId="4" fillId="2" borderId="0" xfId="0" applyFont="1" applyFill="1" applyAlignment="1">
      <alignment horizontal="center" vertical="top"/>
    </xf>
    <xf numFmtId="44" fontId="5" fillId="2" borderId="0" xfId="1" applyFont="1" applyFill="1" applyAlignment="1">
      <alignment horizontal="left" vertical="top"/>
    </xf>
    <xf numFmtId="0" fontId="5" fillId="2" borderId="0" xfId="0" applyFont="1" applyFill="1" applyAlignment="1">
      <alignment horizontal="right" vertical="top"/>
    </xf>
    <xf numFmtId="0" fontId="5" fillId="3" borderId="0" xfId="0" applyFont="1" applyFill="1" applyAlignment="1">
      <alignment horizontal="left" vertical="top"/>
    </xf>
    <xf numFmtId="0" fontId="3" fillId="3" borderId="0" xfId="0" applyFont="1" applyFill="1" applyAlignment="1">
      <alignment horizontal="left" vertical="top"/>
    </xf>
    <xf numFmtId="44" fontId="3" fillId="3" borderId="0" xfId="1" applyFont="1" applyFill="1" applyAlignment="1">
      <alignment horizontal="left" vertical="top"/>
    </xf>
    <xf numFmtId="0" fontId="5" fillId="3" borderId="0" xfId="0" applyFont="1" applyFill="1" applyAlignment="1">
      <alignment horizontal="right" vertical="top"/>
    </xf>
    <xf numFmtId="44" fontId="5" fillId="3" borderId="0" xfId="1" applyFont="1" applyFill="1" applyAlignment="1">
      <alignment horizontal="left" vertical="top"/>
    </xf>
    <xf numFmtId="0" fontId="5" fillId="2" borderId="0" xfId="0" applyFont="1" applyFill="1" applyAlignment="1">
      <alignment horizontal="left" vertical="top"/>
    </xf>
    <xf numFmtId="0" fontId="5" fillId="4" borderId="0" xfId="0" applyFont="1" applyFill="1" applyAlignment="1">
      <alignment horizontal="left" vertical="top"/>
    </xf>
    <xf numFmtId="44" fontId="5" fillId="4" borderId="0" xfId="1" applyFont="1" applyFill="1" applyAlignment="1">
      <alignment horizontal="left" vertical="top"/>
    </xf>
    <xf numFmtId="0" fontId="3" fillId="4" borderId="0" xfId="0" applyFont="1" applyFill="1" applyAlignment="1">
      <alignment horizontal="left" vertical="top"/>
    </xf>
    <xf numFmtId="44" fontId="3" fillId="4" borderId="0" xfId="1" applyFont="1" applyFill="1" applyAlignment="1">
      <alignment horizontal="left" vertical="top"/>
    </xf>
    <xf numFmtId="0" fontId="5" fillId="4" borderId="0" xfId="0" applyFont="1" applyFill="1" applyAlignment="1">
      <alignment horizontal="right" vertical="top"/>
    </xf>
    <xf numFmtId="0" fontId="3" fillId="2" borderId="0" xfId="0" applyFont="1" applyFill="1" applyAlignment="1">
      <alignment horizontal="right" vertical="top"/>
    </xf>
    <xf numFmtId="44" fontId="3" fillId="2" borderId="0" xfId="1" applyFont="1" applyFill="1" applyAlignment="1">
      <alignment horizontal="left" vertical="top"/>
    </xf>
    <xf numFmtId="0" fontId="5" fillId="5" borderId="0" xfId="0" applyFont="1" applyFill="1" applyAlignment="1">
      <alignment horizontal="left" vertical="top"/>
    </xf>
    <xf numFmtId="44" fontId="5" fillId="5" borderId="0" xfId="1" applyFont="1" applyFill="1" applyAlignment="1">
      <alignment horizontal="left" vertical="top"/>
    </xf>
    <xf numFmtId="0" fontId="3" fillId="5" borderId="0" xfId="0" applyFont="1" applyFill="1" applyAlignment="1">
      <alignment horizontal="left" vertical="top"/>
    </xf>
    <xf numFmtId="44" fontId="3" fillId="5" borderId="0" xfId="1" applyFont="1" applyFill="1" applyAlignment="1">
      <alignment horizontal="left" vertical="top"/>
    </xf>
    <xf numFmtId="0" fontId="5" fillId="5" borderId="0" xfId="0" applyFont="1" applyFill="1" applyAlignment="1">
      <alignment horizontal="right" vertical="top"/>
    </xf>
    <xf numFmtId="0" fontId="6" fillId="6" borderId="0" xfId="0" applyFont="1" applyFill="1" applyAlignment="1">
      <alignment horizontal="left" vertical="top"/>
    </xf>
    <xf numFmtId="44" fontId="6" fillId="6" borderId="0" xfId="1" applyFont="1" applyFill="1" applyAlignment="1">
      <alignment horizontal="left" vertical="top"/>
    </xf>
    <xf numFmtId="0" fontId="5" fillId="7" borderId="0" xfId="0" applyFont="1" applyFill="1" applyAlignment="1">
      <alignment horizontal="left" vertical="top"/>
    </xf>
    <xf numFmtId="44" fontId="5" fillId="7" borderId="0" xfId="1" applyFont="1" applyFill="1" applyAlignment="1">
      <alignment horizontal="left" vertical="top"/>
    </xf>
    <xf numFmtId="0" fontId="3" fillId="7" borderId="0" xfId="0" applyFont="1" applyFill="1" applyAlignment="1">
      <alignment horizontal="left" vertical="top"/>
    </xf>
    <xf numFmtId="44" fontId="3" fillId="7" borderId="0" xfId="1" applyFont="1" applyFill="1" applyAlignment="1">
      <alignment horizontal="left" vertical="top"/>
    </xf>
    <xf numFmtId="0" fontId="5" fillId="7" borderId="0" xfId="0" applyFont="1" applyFill="1" applyAlignment="1">
      <alignment horizontal="right" vertical="top"/>
    </xf>
    <xf numFmtId="0" fontId="2" fillId="2" borderId="0" xfId="0" applyFont="1" applyFill="1" applyAlignment="1">
      <alignment horizontal="center" vertical="top"/>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Agm00\Agmout\AGMBRA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ocuments%20and%20Settings\a1001326\Configura&#231;&#245;es%20locais\Temporary%20Internet%20Files\OLK5F\Fechamento%20PA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Users\lais.sobrinho\AppData\Local\Microsoft\Windows\Temporary%20Internet%20Files\Content.Outlook\I2Y8BLPJ\SO%20ALT%2003%20-%202%2002%20008%20002%200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Concorrencias\2003%20a%202006\2005\0852005ace%20-%20CAESB%20-%20Est.Trat.%20Agua-Melhoria%20Instala&#231;&#245;es\02-Revis&#227;o%20de%2020-12-05\0852005ace%20-%20Rev.%2020-12-0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Cristiano/AppData/Local/Microsoft/Windows/INetCache/Content.Outlook/V8MAZKP5/COTA&#199;&#195;O%20MANGALARGA%20MACHADOR_____CID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508"/>
      <sheetName val="517"/>
      <sheetName val="527"/>
      <sheetName val="528"/>
      <sheetName val="703"/>
      <sheetName val="799"/>
      <sheetName val="LINOBUENO"/>
      <sheetName val="NOVASDSP"/>
      <sheetName val="PROJ 09 (DSP)"/>
      <sheetName val="PROJ 10 (DSP)"/>
      <sheetName val="PROJ 11 (DSP)"/>
      <sheetName val="PROJ 12 (DSP)"/>
      <sheetName val="PROJ 13 (DSP)"/>
      <sheetName val="PROJ 14 (DSP)"/>
      <sheetName val="PROJ 15 (DSP)"/>
      <sheetName val="026"/>
      <sheetName val="507"/>
      <sheetName val="509"/>
      <sheetName val="521"/>
      <sheetName val="525"/>
      <sheetName val="526"/>
      <sheetName val="531"/>
      <sheetName val="541"/>
      <sheetName val="533"/>
      <sheetName val="534"/>
      <sheetName val="720"/>
      <sheetName val="CON.GOIANIA"/>
      <sheetName val="COCAL"/>
      <sheetName val="NOVASDNN"/>
      <sheetName val="PROJ 15 (DNN)"/>
      <sheetName val="025"/>
      <sheetName val="511"/>
      <sheetName val="512"/>
      <sheetName val="529"/>
      <sheetName val="530"/>
      <sheetName val="549"/>
      <sheetName val="773"/>
      <sheetName val="METRORIO"/>
      <sheetName val="PARAÚNAS"/>
      <sheetName val="PROJETO-A"/>
      <sheetName val="PROJETO-B"/>
      <sheetName val="PROJETO-C"/>
      <sheetName val="PROJ 13 (DCS)"/>
      <sheetName val="PROJ 14 (DCS)"/>
      <sheetName val="PROJ 15 (DCS)"/>
      <sheetName val="516"/>
      <sheetName val="522"/>
      <sheetName val="523"/>
      <sheetName val="524"/>
      <sheetName val="ENCDMS"/>
      <sheetName val="NOVASDMS"/>
      <sheetName val="PROJ 07 (5)"/>
      <sheetName val="PROJ 08 (5)"/>
      <sheetName val="PROJ 09 (5)"/>
      <sheetName val="PROJ 10 (5)"/>
      <sheetName val="PROJ 11 (5)"/>
      <sheetName val="PROJ 12 (5)"/>
      <sheetName val="PROJ 13 (5)"/>
      <sheetName val="PROJ 14 (5)"/>
      <sheetName val="PROJ 15 (5)"/>
      <sheetName val="506"/>
      <sheetName val="515 (Amer.)"/>
      <sheetName val="515 (Smab)"/>
      <sheetName val="PPEDRA"/>
      <sheetName val="PROJ 04 (6)"/>
      <sheetName val="PROJ 05 (6)"/>
      <sheetName val="RATEIO OH"/>
      <sheetName val="FIM"/>
      <sheetName val="REALIZADO"/>
      <sheetName val="PREVISTO"/>
      <sheetName val="CAPA"/>
      <sheetName val="ECO"/>
      <sheetName val="ECO DIV"/>
      <sheetName val="FIN"/>
      <sheetName val="FIN DIV"/>
      <sheetName val="ANAL(MÊS)"/>
      <sheetName val="ANAL(ANO)"/>
      <sheetName val="ANAL(TEND)"/>
      <sheetName val="BACKLOG"/>
      <sheetName val="BACKLOG (Irineu)"/>
      <sheetName val="ANAL(RNO)"/>
      <sheetName val="ANAL(PROJETO)"/>
      <sheetName val="ANAL(CX EFETIVO)"/>
      <sheetName val="BACKLOG (TEND)"/>
      <sheetName val="ANAL R_C (MARGEM)"/>
      <sheetName val="ANAL(TEND) (MARGEM)"/>
      <sheetName val="BACKLOG (2)"/>
      <sheetName val="ANALISE (3)"/>
      <sheetName val="ANAL(MÊS) (MARGEM)"/>
      <sheetName val="AGMBRAS"/>
      <sheetName val="#REF"/>
      <sheetName val="533-(SERV.)"/>
      <sheetName val="CONFERENCIA"/>
      <sheetName val="INICIODNC"/>
      <sheetName val="537"/>
      <sheetName val="539"/>
      <sheetName val="540"/>
      <sheetName val="544"/>
      <sheetName val="545"/>
      <sheetName val="547"/>
      <sheetName val="553"/>
      <sheetName val="554"/>
      <sheetName val="558"/>
      <sheetName val="559"/>
      <sheetName val="564"/>
      <sheetName val="565"/>
      <sheetName val="encerradasdnc"/>
      <sheetName val="ODODNC"/>
      <sheetName val="TPS"/>
      <sheetName val="BELENZINHO"/>
      <sheetName val="COPASA"/>
      <sheetName val="CAESB"/>
      <sheetName val="TRANSPOSIÇÃO"/>
      <sheetName val="BERCO108"/>
      <sheetName val="DERSP"/>
      <sheetName val="DERSA"/>
      <sheetName val="BR020"/>
      <sheetName val="DENIT"/>
      <sheetName val="BR450"/>
      <sheetName val="SAMARCO"/>
      <sheetName val="CODESP"/>
      <sheetName val="CPTM"/>
      <sheetName val="CPTMLF"/>
      <sheetName val="TRENSURB"/>
      <sheetName val="SUDECAP"/>
      <sheetName val="REVAP"/>
      <sheetName val="HDS"/>
      <sheetName val="SABESP"/>
      <sheetName val="CVRD"/>
      <sheetName val="VALEC"/>
      <sheetName val="BR101"/>
      <sheetName val="FINALDNC"/>
      <sheetName val="INICIODNM"/>
      <sheetName val="533-(Forn.)"/>
      <sheetName val="543"/>
      <sheetName val="548"/>
      <sheetName val="550"/>
      <sheetName val="555"/>
      <sheetName val="561"/>
      <sheetName val="562"/>
      <sheetName val="563"/>
      <sheetName val="556"/>
      <sheetName val="557"/>
      <sheetName val="ODODNM"/>
      <sheetName val="FINALDNM"/>
      <sheetName val="FINAL"/>
      <sheetName val="VAGO2DNN"/>
      <sheetName val="VAGO1DCL"/>
      <sheetName val="NOVAJUIZDEFORA"/>
      <sheetName val="SÃOCARLOSBETIM"/>
      <sheetName val="REFINARIA"/>
      <sheetName val="TERMICA"/>
      <sheetName val="HIDROELETRICA"/>
      <sheetName val="FIN DIVNP"/>
      <sheetName val="ANAL(MÊS)NP"/>
      <sheetName val="ANALANO"/>
      <sheetName val="ANALANONP"/>
      <sheetName val="ANAL(ANO)ANTIGA"/>
      <sheetName val="ANAL(TEND)NP"/>
      <sheetName val="ANALRNO"/>
      <sheetName val="ANALRNONP"/>
      <sheetName val="MOVRECEITA"/>
      <sheetName val="MOVRECEITANP"/>
      <sheetName val="ANALMOV"/>
      <sheetName val="ANALMOVNP"/>
      <sheetName val="AJUGER"/>
      <sheetName val="AJUGERNP"/>
      <sheetName val="ANALAREAL"/>
      <sheetName val="ANALAREALNP"/>
      <sheetName val="ANAL(CXEFETIVA)"/>
      <sheetName val="ANAL(PROJETO)conselho"/>
      <sheetName val="ANAL(PROJETO)conselho (2)"/>
      <sheetName val="ODO_GERAL"/>
      <sheetName val="Plan1"/>
      <sheetName val="RESBRUTO"/>
      <sheetName val="RESBRUTOTENDCOMP"/>
      <sheetName val="RESGCE"/>
      <sheetName val="RESGCETENDCO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lha de Fechamento Consolidado"/>
      <sheetName val="573 Consolidado"/>
      <sheetName val="Folha de Fechamento mendes"/>
      <sheetName val="573 mendes"/>
      <sheetName val="matriz"/>
      <sheetName val="CENARIO"/>
      <sheetName val="Cron fisfin custo"/>
      <sheetName val="custo"/>
      <sheetName val="nat"/>
      <sheetName val="INIC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
      <sheetName val="TOTALIZADOR"/>
      <sheetName val="S.O. (2)"/>
      <sheetName val="TOTALIZADOR (2)"/>
      <sheetName val="S.O. (3)"/>
      <sheetName val="TOTALIZADOR (3)"/>
      <sheetName val="S.O. (4)"/>
      <sheetName val="TOTALIZADOR (4)"/>
      <sheetName val="S.O. (5)"/>
      <sheetName val="TOTALIZADOR (5)"/>
    </sheetNames>
    <sheetDataSet>
      <sheetData sheetId="0" refreshError="1"/>
      <sheetData sheetId="1">
        <row r="2">
          <cell r="B2" t="str">
            <v>SEGMENTO</v>
          </cell>
        </row>
        <row r="3">
          <cell r="B3" t="str">
            <v>A&amp;B</v>
          </cell>
        </row>
        <row r="4">
          <cell r="B4" t="str">
            <v>BRINDES</v>
          </cell>
        </row>
        <row r="5">
          <cell r="B5" t="str">
            <v>C. VISUAL</v>
          </cell>
        </row>
        <row r="6">
          <cell r="B6" t="str">
            <v>DECORAÇÃO</v>
          </cell>
        </row>
        <row r="7">
          <cell r="B7" t="str">
            <v>DOCUMENTAÇÃO</v>
          </cell>
        </row>
        <row r="8">
          <cell r="B8" t="str">
            <v>EQUIPAMENTOS</v>
          </cell>
        </row>
        <row r="9">
          <cell r="B9" t="str">
            <v>ESPAÇOS</v>
          </cell>
        </row>
        <row r="10">
          <cell r="B10" t="str">
            <v>ESTRUTURA</v>
          </cell>
        </row>
        <row r="11">
          <cell r="B11" t="str">
            <v>FOTO/FILMAGEM</v>
          </cell>
        </row>
        <row r="12">
          <cell r="B12" t="str">
            <v>GRÁFICA</v>
          </cell>
        </row>
        <row r="13">
          <cell r="B13" t="str">
            <v>INT. ARTÍSTICAS</v>
          </cell>
        </row>
        <row r="14">
          <cell r="B14" t="str">
            <v>MEIOS DE HOSP.</v>
          </cell>
        </row>
        <row r="15">
          <cell r="B15" t="str">
            <v>MOBILIÁRIO</v>
          </cell>
        </row>
        <row r="16">
          <cell r="B16" t="str">
            <v>OUTROS ITENS</v>
          </cell>
        </row>
        <row r="17">
          <cell r="B17" t="str">
            <v>PAPELARIA</v>
          </cell>
        </row>
        <row r="18">
          <cell r="B18" t="str">
            <v>RH</v>
          </cell>
        </row>
        <row r="19">
          <cell r="B19" t="str">
            <v>TRANSPORTE</v>
          </cell>
        </row>
        <row r="20">
          <cell r="B20" t="str">
            <v>CUSTO DE PRODUÇÃO</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sheetName val="COMPOR"/>
      <sheetName val="BANCO DE CPU´S"/>
      <sheetName val="COMPARATIVO DE PREÇOS"/>
      <sheetName val="CURVA ABC"/>
      <sheetName val="Lista Composições-APRESENTADAS"/>
      <sheetName val="PLANILHA-CIVIL"/>
      <sheetName val="RESUMO GERAL"/>
      <sheetName val="RESUMO ELETRICA"/>
      <sheetName val="PLANILHA ELETRICA"/>
      <sheetName val="CR-FINANCEIRO"/>
      <sheetName val="LISTA PREÇO CLIENTE BAIXO CUSTO"/>
      <sheetName val="COMPARATIVO CLIENTE COMPOR"/>
      <sheetName val="CURVA ABCX"/>
      <sheetName val="CURVA ABC (2)"/>
      <sheetName val="CURVA ABC (3)"/>
      <sheetName val="CURVA ABC (4)"/>
      <sheetName val="CHECAR CODIGOS C-VLS DIFERE (3)"/>
      <sheetName val="CR-REAJUSTAMENTO"/>
      <sheetName val="Lista de Composições (3)"/>
    </sheetNames>
    <sheetDataSet>
      <sheetData sheetId="0" refreshError="1"/>
      <sheetData sheetId="1" refreshError="1">
        <row r="5">
          <cell r="D5" t="str">
            <v xml:space="preserve">  A.  1.            </v>
          </cell>
          <cell r="E5" t="str">
            <v xml:space="preserve">      </v>
          </cell>
          <cell r="F5" t="str">
            <v>0.I.</v>
          </cell>
          <cell r="G5" t="str">
            <v xml:space="preserve">CHEGADA DE ÁGUA BRUTA E ELEVATÓRIA DE RECIRCULAÇÃO  </v>
          </cell>
          <cell r="H5" t="str">
            <v xml:space="preserve">      </v>
          </cell>
          <cell r="I5">
            <v>0</v>
          </cell>
          <cell r="J5">
            <v>0</v>
          </cell>
          <cell r="L5">
            <v>0</v>
          </cell>
        </row>
        <row r="6">
          <cell r="D6" t="str">
            <v xml:space="preserve">  A.  2.            </v>
          </cell>
          <cell r="E6" t="str">
            <v xml:space="preserve">      </v>
          </cell>
          <cell r="F6" t="str">
            <v>1.</v>
          </cell>
          <cell r="G6" t="str">
            <v xml:space="preserve">Serviços Preliminares  </v>
          </cell>
          <cell r="H6" t="str">
            <v xml:space="preserve">      </v>
          </cell>
          <cell r="I6">
            <v>0</v>
          </cell>
          <cell r="J6">
            <v>0</v>
          </cell>
          <cell r="L6">
            <v>0</v>
          </cell>
        </row>
        <row r="7">
          <cell r="D7" t="str">
            <v xml:space="preserve">  A.  3.            </v>
          </cell>
          <cell r="E7" t="str">
            <v>CP1163</v>
          </cell>
          <cell r="F7" t="str">
            <v>1.1.</v>
          </cell>
          <cell r="G7" t="str">
            <v xml:space="preserve">Locacão da obra de edificação com execução de gabarito  </v>
          </cell>
          <cell r="H7" t="str">
            <v xml:space="preserve">m2    </v>
          </cell>
          <cell r="I7">
            <v>180</v>
          </cell>
          <cell r="J7">
            <v>4.3099999999999996</v>
          </cell>
          <cell r="K7">
            <v>3.61</v>
          </cell>
          <cell r="L7">
            <v>775.8</v>
          </cell>
        </row>
        <row r="8">
          <cell r="D8" t="str">
            <v xml:space="preserve">  A.  4.            </v>
          </cell>
          <cell r="E8" t="str">
            <v>CP1152</v>
          </cell>
          <cell r="F8" t="str">
            <v>1.2.</v>
          </cell>
          <cell r="G8" t="str">
            <v xml:space="preserve">Limpeza mecânica do terreno  </v>
          </cell>
          <cell r="H8" t="str">
            <v xml:space="preserve">m2    </v>
          </cell>
          <cell r="I8">
            <v>180</v>
          </cell>
          <cell r="J8">
            <v>0.55000000000000004</v>
          </cell>
          <cell r="K8">
            <v>0.46</v>
          </cell>
          <cell r="L8">
            <v>99</v>
          </cell>
        </row>
        <row r="9">
          <cell r="D9" t="str">
            <v xml:space="preserve">  A.  5.            </v>
          </cell>
          <cell r="E9" t="str">
            <v xml:space="preserve">      </v>
          </cell>
          <cell r="F9" t="str">
            <v>2.</v>
          </cell>
          <cell r="G9" t="str">
            <v xml:space="preserve">Movimento de Terra  </v>
          </cell>
          <cell r="H9" t="str">
            <v xml:space="preserve">      </v>
          </cell>
          <cell r="I9">
            <v>0</v>
          </cell>
          <cell r="J9">
            <v>0</v>
          </cell>
          <cell r="K9">
            <v>0</v>
          </cell>
          <cell r="L9">
            <v>0</v>
          </cell>
        </row>
        <row r="10">
          <cell r="D10" t="str">
            <v xml:space="preserve">  A.  6.            </v>
          </cell>
          <cell r="E10" t="str">
            <v>CP1141</v>
          </cell>
          <cell r="F10" t="str">
            <v>2.1.</v>
          </cell>
          <cell r="G10" t="str">
            <v xml:space="preserve">Escavação mecânica em áreas solo de qualquer natureza exceto rocha, inclusive carga e descarga  </v>
          </cell>
          <cell r="H10" t="str">
            <v xml:space="preserve">m³    </v>
          </cell>
          <cell r="I10">
            <v>1700</v>
          </cell>
          <cell r="J10">
            <v>3.89</v>
          </cell>
          <cell r="K10">
            <v>5.55</v>
          </cell>
          <cell r="L10">
            <v>6613</v>
          </cell>
        </row>
        <row r="11">
          <cell r="D11" t="str">
            <v xml:space="preserve">  A.  7.            </v>
          </cell>
          <cell r="E11" t="str">
            <v>CP1109</v>
          </cell>
          <cell r="F11" t="str">
            <v>2.2.</v>
          </cell>
          <cell r="G11" t="str">
            <v xml:space="preserve">Extração de rocha a frio, em valas  </v>
          </cell>
          <cell r="H11" t="str">
            <v xml:space="preserve">m³    </v>
          </cell>
          <cell r="I11">
            <v>30</v>
          </cell>
          <cell r="J11">
            <v>302.83999999999997</v>
          </cell>
          <cell r="K11">
            <v>432.63</v>
          </cell>
          <cell r="L11">
            <v>9085.2000000000007</v>
          </cell>
        </row>
        <row r="12">
          <cell r="D12" t="str">
            <v xml:space="preserve">  A.  8.            </v>
          </cell>
          <cell r="E12" t="str">
            <v>CP1131</v>
          </cell>
          <cell r="F12" t="str">
            <v>2.3.</v>
          </cell>
          <cell r="G12" t="str">
            <v xml:space="preserve">Escavação manual material de 1ª categoria prof. até 1,50m  </v>
          </cell>
          <cell r="H12" t="str">
            <v xml:space="preserve">m³    </v>
          </cell>
          <cell r="I12">
            <v>110</v>
          </cell>
          <cell r="J12">
            <v>20.89</v>
          </cell>
          <cell r="K12">
            <v>19.02</v>
          </cell>
          <cell r="L12">
            <v>2297.9</v>
          </cell>
        </row>
        <row r="13">
          <cell r="D13" t="str">
            <v xml:space="preserve">  A.  9.            </v>
          </cell>
          <cell r="E13" t="str">
            <v>CP1122</v>
          </cell>
          <cell r="F13" t="str">
            <v>2.4.</v>
          </cell>
          <cell r="G13" t="str">
            <v xml:space="preserve">Escavação manual material de 1ª categoria prof. 1,50 m até 3,00m  </v>
          </cell>
          <cell r="H13" t="str">
            <v xml:space="preserve">m³    </v>
          </cell>
          <cell r="I13">
            <v>350</v>
          </cell>
          <cell r="J13">
            <v>25.56</v>
          </cell>
          <cell r="K13">
            <v>26.63</v>
          </cell>
          <cell r="L13">
            <v>8946</v>
          </cell>
        </row>
        <row r="14">
          <cell r="D14" t="str">
            <v xml:space="preserve">  A. 10.            </v>
          </cell>
          <cell r="E14" t="str">
            <v>CP1085</v>
          </cell>
          <cell r="F14" t="str">
            <v>2.5.</v>
          </cell>
          <cell r="G14" t="str">
            <v xml:space="preserve">Carga mecânica de material em caminhão basculante  </v>
          </cell>
          <cell r="H14" t="str">
            <v xml:space="preserve">m³    </v>
          </cell>
          <cell r="I14">
            <v>2847</v>
          </cell>
          <cell r="J14">
            <v>1.23</v>
          </cell>
          <cell r="K14">
            <v>1.74</v>
          </cell>
          <cell r="L14">
            <v>3501.81</v>
          </cell>
        </row>
        <row r="15">
          <cell r="D15" t="str">
            <v xml:space="preserve">  A. 11.            </v>
          </cell>
          <cell r="E15" t="str">
            <v>CP1070</v>
          </cell>
          <cell r="F15" t="str">
            <v>2.6.</v>
          </cell>
          <cell r="G15" t="str">
            <v xml:space="preserve">Transporte mecânico de material em caminhão basculante  </v>
          </cell>
          <cell r="H15" t="str">
            <v xml:space="preserve">m³xkm </v>
          </cell>
          <cell r="I15">
            <v>28470</v>
          </cell>
          <cell r="J15">
            <v>2.38</v>
          </cell>
          <cell r="K15">
            <v>2.35</v>
          </cell>
          <cell r="L15">
            <v>67758.600000000006</v>
          </cell>
        </row>
        <row r="16">
          <cell r="D16" t="str">
            <v xml:space="preserve">  A. 12.            </v>
          </cell>
          <cell r="E16" t="str">
            <v xml:space="preserve">      </v>
          </cell>
          <cell r="F16" t="str">
            <v>3.</v>
          </cell>
          <cell r="G16" t="str">
            <v xml:space="preserve">Estruturas de Concreto (incluindo obras diversas)  </v>
          </cell>
          <cell r="H16" t="str">
            <v xml:space="preserve">      </v>
          </cell>
          <cell r="I16">
            <v>0</v>
          </cell>
          <cell r="J16">
            <v>0</v>
          </cell>
          <cell r="K16">
            <v>0</v>
          </cell>
          <cell r="L16">
            <v>0</v>
          </cell>
        </row>
        <row r="17">
          <cell r="D17" t="str">
            <v xml:space="preserve">  A. 13.            </v>
          </cell>
          <cell r="E17" t="str">
            <v xml:space="preserve">      </v>
          </cell>
          <cell r="F17" t="str">
            <v>3.1.</v>
          </cell>
          <cell r="G17" t="str">
            <v xml:space="preserve">Escavação e concretagem de tubulões mecanizados  </v>
          </cell>
          <cell r="H17" t="str">
            <v xml:space="preserve">      </v>
          </cell>
          <cell r="I17">
            <v>0</v>
          </cell>
          <cell r="J17">
            <v>0</v>
          </cell>
          <cell r="K17">
            <v>0</v>
          </cell>
          <cell r="L17">
            <v>0</v>
          </cell>
        </row>
        <row r="18">
          <cell r="D18" t="str">
            <v xml:space="preserve">  A. 14.            </v>
          </cell>
          <cell r="E18" t="str">
            <v>CP0088</v>
          </cell>
          <cell r="F18" t="str">
            <v>3.1.1.</v>
          </cell>
          <cell r="G18" t="str">
            <v xml:space="preserve">Escavação e concretagem de tubulões mecanizados D = 30 cm  </v>
          </cell>
          <cell r="H18" t="str">
            <v xml:space="preserve">m     </v>
          </cell>
          <cell r="I18">
            <v>110</v>
          </cell>
          <cell r="J18">
            <v>80.77</v>
          </cell>
          <cell r="K18">
            <v>81.42</v>
          </cell>
          <cell r="L18">
            <v>8884.7000000000007</v>
          </cell>
        </row>
        <row r="19">
          <cell r="D19" t="str">
            <v xml:space="preserve">  A. 15.            </v>
          </cell>
          <cell r="E19" t="str">
            <v>CP0077</v>
          </cell>
          <cell r="F19" t="str">
            <v>3.1.2.</v>
          </cell>
          <cell r="G19" t="str">
            <v xml:space="preserve">Escavação e concretagem de tubulões mecanizados D = 50 cm  </v>
          </cell>
          <cell r="H19" t="str">
            <v xml:space="preserve">m     </v>
          </cell>
          <cell r="I19">
            <v>207</v>
          </cell>
          <cell r="J19">
            <v>159.41</v>
          </cell>
          <cell r="K19">
            <v>145.24</v>
          </cell>
          <cell r="L19">
            <v>32997.870000000003</v>
          </cell>
        </row>
        <row r="20">
          <cell r="D20" t="str">
            <v xml:space="preserve">  A. 16.            </v>
          </cell>
          <cell r="E20" t="str">
            <v>CP0072</v>
          </cell>
          <cell r="F20" t="str">
            <v>3.1.3.</v>
          </cell>
          <cell r="G20" t="str">
            <v xml:space="preserve">Escavação e concretagem de tubulões mecanizados D = 70 cm  </v>
          </cell>
          <cell r="H20" t="str">
            <v xml:space="preserve">m     </v>
          </cell>
          <cell r="I20">
            <v>90</v>
          </cell>
          <cell r="J20">
            <v>284.89</v>
          </cell>
          <cell r="K20">
            <v>319.92</v>
          </cell>
          <cell r="L20">
            <v>25640.1</v>
          </cell>
        </row>
        <row r="21">
          <cell r="D21" t="str">
            <v xml:space="preserve">  A. 17.            </v>
          </cell>
          <cell r="E21" t="str">
            <v>CP0061</v>
          </cell>
          <cell r="F21" t="str">
            <v>3.2.</v>
          </cell>
          <cell r="G21" t="str">
            <v xml:space="preserve">Formas planas para estruturas em chapa de madeira plastificada - 02 reaproveitamentos, inclusive desforma  </v>
          </cell>
          <cell r="H21" t="str">
            <v xml:space="preserve">m²    </v>
          </cell>
          <cell r="I21">
            <v>1560</v>
          </cell>
          <cell r="J21">
            <v>87.97</v>
          </cell>
          <cell r="K21">
            <v>73.349999999999994</v>
          </cell>
          <cell r="L21">
            <v>137233.20000000001</v>
          </cell>
        </row>
        <row r="22">
          <cell r="D22" t="str">
            <v xml:space="preserve">  A. 18.            </v>
          </cell>
          <cell r="E22" t="str">
            <v>CP1056</v>
          </cell>
          <cell r="F22" t="str">
            <v>3.3.</v>
          </cell>
          <cell r="G22" t="str">
            <v xml:space="preserve">Armadura de aço CA-50, com fornecimento do material corte e dobra  </v>
          </cell>
          <cell r="H22" t="str">
            <v xml:space="preserve">kg    </v>
          </cell>
          <cell r="I22">
            <v>33000</v>
          </cell>
          <cell r="J22">
            <v>6.9</v>
          </cell>
          <cell r="K22">
            <v>5.78</v>
          </cell>
          <cell r="L22">
            <v>227700</v>
          </cell>
        </row>
        <row r="23">
          <cell r="D23" t="str">
            <v xml:space="preserve">  A. 19.            </v>
          </cell>
          <cell r="E23" t="str">
            <v>CP0095</v>
          </cell>
          <cell r="F23" t="str">
            <v>3.4.</v>
          </cell>
          <cell r="G23" t="str">
            <v xml:space="preserve">Fornecimento e lançamento concreto usinado bombeado 21 MPA com cimento alto forno, brita granítica e adição de microsílica  </v>
          </cell>
          <cell r="H23" t="str">
            <v xml:space="preserve">m³    </v>
          </cell>
          <cell r="I23">
            <v>270</v>
          </cell>
          <cell r="J23">
            <v>378.14</v>
          </cell>
          <cell r="K23">
            <v>315.63</v>
          </cell>
          <cell r="L23">
            <v>102097.8</v>
          </cell>
        </row>
        <row r="24">
          <cell r="D24" t="str">
            <v xml:space="preserve">  A. 20.            </v>
          </cell>
          <cell r="E24" t="str">
            <v>CP0052</v>
          </cell>
          <cell r="F24" t="str">
            <v>3.5.</v>
          </cell>
          <cell r="G24" t="str">
            <v xml:space="preserve">Preparo e lançamento de concreto simples mínimo de 150 kg cimento/m³  </v>
          </cell>
          <cell r="H24" t="str">
            <v xml:space="preserve">m³    </v>
          </cell>
          <cell r="I24">
            <v>15</v>
          </cell>
          <cell r="J24">
            <v>284.95</v>
          </cell>
          <cell r="K24">
            <v>286.02999999999997</v>
          </cell>
          <cell r="L24">
            <v>4274.25</v>
          </cell>
        </row>
        <row r="25">
          <cell r="D25" t="str">
            <v xml:space="preserve">  A. 21.            </v>
          </cell>
          <cell r="E25" t="str">
            <v xml:space="preserve">      </v>
          </cell>
          <cell r="F25" t="str">
            <v>4.</v>
          </cell>
          <cell r="G25" t="str">
            <v xml:space="preserve">Fornecimento de Equipamentos Hidráulicos, Mecânicos e Eletromecânicos, conforme Especificações Técnicas, relativas a cada Equipamento  </v>
          </cell>
          <cell r="H25" t="str">
            <v xml:space="preserve">      </v>
          </cell>
          <cell r="I25">
            <v>0</v>
          </cell>
          <cell r="J25">
            <v>0</v>
          </cell>
          <cell r="K25">
            <v>0</v>
          </cell>
          <cell r="L25">
            <v>0</v>
          </cell>
        </row>
        <row r="26">
          <cell r="D26" t="str">
            <v xml:space="preserve">  A. 22.            </v>
          </cell>
          <cell r="E26" t="str">
            <v>CP1214</v>
          </cell>
          <cell r="F26" t="str">
            <v>4.1.</v>
          </cell>
          <cell r="G26" t="str">
            <v xml:space="preserve">Comportas de ferro fundido circulares DN 1000 completa incluindo pedestais de suspensão, com acionamento elétrico, mancais intermediários F1 1/8 e luva com haste de prolongamento F1 1/8  </v>
          </cell>
          <cell r="H26" t="str">
            <v xml:space="preserve">un    </v>
          </cell>
          <cell r="I26">
            <v>2</v>
          </cell>
          <cell r="J26">
            <v>77352.929999999993</v>
          </cell>
          <cell r="K26">
            <v>110504.18</v>
          </cell>
          <cell r="L26">
            <v>154705.85999999999</v>
          </cell>
        </row>
        <row r="27">
          <cell r="D27" t="str">
            <v xml:space="preserve">  A. 23.            </v>
          </cell>
          <cell r="E27" t="str">
            <v>CP1220</v>
          </cell>
          <cell r="F27" t="str">
            <v>4.2.</v>
          </cell>
          <cell r="G27" t="str">
            <v xml:space="preserve">Misturador submersível para água de lavagem  </v>
          </cell>
          <cell r="H27" t="str">
            <v xml:space="preserve">un    </v>
          </cell>
          <cell r="I27">
            <v>3</v>
          </cell>
          <cell r="J27">
            <v>23371.69</v>
          </cell>
          <cell r="K27">
            <v>19585.48</v>
          </cell>
          <cell r="L27">
            <v>70115.070000000007</v>
          </cell>
        </row>
        <row r="28">
          <cell r="D28" t="str">
            <v xml:space="preserve">  A. 24.            </v>
          </cell>
          <cell r="E28" t="str">
            <v>CP1197</v>
          </cell>
          <cell r="F28" t="str">
            <v>4.3.</v>
          </cell>
          <cell r="G28" t="str">
            <v xml:space="preserve">Moto-bomba de recirculação de água de lavagem  </v>
          </cell>
          <cell r="H28" t="str">
            <v xml:space="preserve">un    </v>
          </cell>
          <cell r="I28">
            <v>2</v>
          </cell>
          <cell r="J28">
            <v>230782.62</v>
          </cell>
          <cell r="K28">
            <v>214745.5</v>
          </cell>
          <cell r="L28">
            <v>461565.24</v>
          </cell>
        </row>
        <row r="29">
          <cell r="D29" t="str">
            <v xml:space="preserve">  A. 25.            </v>
          </cell>
          <cell r="E29" t="str">
            <v xml:space="preserve">      </v>
          </cell>
          <cell r="F29" t="str">
            <v>5.</v>
          </cell>
          <cell r="G29" t="str">
            <v xml:space="preserve">Montagem de Equipamentos Hidráulicos, Mecânicos e Eletromecânicos, conforme Especificações Técnicas, Relativas a cada Equipamento  </v>
          </cell>
          <cell r="H29" t="str">
            <v xml:space="preserve">      </v>
          </cell>
          <cell r="I29">
            <v>0</v>
          </cell>
          <cell r="J29">
            <v>0</v>
          </cell>
          <cell r="K29">
            <v>0</v>
          </cell>
          <cell r="L29">
            <v>0</v>
          </cell>
        </row>
        <row r="30">
          <cell r="D30" t="str">
            <v xml:space="preserve">  A. 26.            </v>
          </cell>
          <cell r="E30" t="str">
            <v>CP0474</v>
          </cell>
          <cell r="F30" t="str">
            <v>5.1.</v>
          </cell>
          <cell r="G30" t="str">
            <v xml:space="preserve">Comportas de ferro fundido circulares DN 1000 completa incluindo pedestais de suspensão, com acionamento elétrico, mancais intermediários F1 1/8 e luva com haste de prolongamento F1 1/8  </v>
          </cell>
          <cell r="H30" t="str">
            <v xml:space="preserve">un    </v>
          </cell>
          <cell r="I30">
            <v>2</v>
          </cell>
          <cell r="J30">
            <v>3008.98</v>
          </cell>
          <cell r="K30">
            <v>2631.63</v>
          </cell>
          <cell r="L30">
            <v>6017.96</v>
          </cell>
        </row>
        <row r="31">
          <cell r="D31" t="str">
            <v xml:space="preserve">  A. 27.            </v>
          </cell>
          <cell r="E31" t="str">
            <v>CP0356</v>
          </cell>
          <cell r="F31" t="str">
            <v>5.2.</v>
          </cell>
          <cell r="G31" t="str">
            <v xml:space="preserve">Misturador submersível para água de lavagem  </v>
          </cell>
          <cell r="H31" t="str">
            <v xml:space="preserve">un    </v>
          </cell>
          <cell r="I31">
            <v>3</v>
          </cell>
          <cell r="J31">
            <v>1465.56</v>
          </cell>
          <cell r="K31">
            <v>1229.1099999999999</v>
          </cell>
          <cell r="L31">
            <v>4396.68</v>
          </cell>
        </row>
        <row r="32">
          <cell r="D32" t="str">
            <v xml:space="preserve">  A. 28.            </v>
          </cell>
          <cell r="E32" t="str">
            <v>CP0351</v>
          </cell>
          <cell r="F32" t="str">
            <v>5.3.</v>
          </cell>
          <cell r="G32" t="str">
            <v xml:space="preserve">Moto-bomba de recirculação de água de lavagem  </v>
          </cell>
          <cell r="H32" t="str">
            <v xml:space="preserve">un    </v>
          </cell>
          <cell r="I32">
            <v>2</v>
          </cell>
          <cell r="J32">
            <v>4882</v>
          </cell>
          <cell r="K32">
            <v>4630.41</v>
          </cell>
          <cell r="L32">
            <v>9764</v>
          </cell>
        </row>
        <row r="33">
          <cell r="D33" t="str">
            <v xml:space="preserve">  A. 29.            </v>
          </cell>
          <cell r="E33" t="str">
            <v xml:space="preserve">      </v>
          </cell>
          <cell r="F33" t="str">
            <v>6.</v>
          </cell>
          <cell r="G33" t="str">
            <v xml:space="preserve">Obras Diversas  </v>
          </cell>
          <cell r="H33" t="str">
            <v xml:space="preserve">      </v>
          </cell>
          <cell r="I33">
            <v>0</v>
          </cell>
          <cell r="J33">
            <v>0</v>
          </cell>
          <cell r="K33">
            <v>0</v>
          </cell>
          <cell r="L33">
            <v>0</v>
          </cell>
        </row>
        <row r="34">
          <cell r="D34" t="str">
            <v xml:space="preserve">  A. 30.            </v>
          </cell>
          <cell r="E34" t="str">
            <v xml:space="preserve">      </v>
          </cell>
          <cell r="F34" t="str">
            <v>6.1.</v>
          </cell>
          <cell r="G34" t="str">
            <v xml:space="preserve">Alvenaria de elevação com blocos de concreto:  </v>
          </cell>
          <cell r="H34" t="str">
            <v xml:space="preserve">      </v>
          </cell>
          <cell r="I34">
            <v>0</v>
          </cell>
          <cell r="J34">
            <v>0</v>
          </cell>
          <cell r="K34">
            <v>0</v>
          </cell>
          <cell r="L34">
            <v>0</v>
          </cell>
        </row>
        <row r="35">
          <cell r="D35" t="str">
            <v xml:space="preserve">  A. 31.            </v>
          </cell>
          <cell r="E35" t="str">
            <v>CP0047</v>
          </cell>
          <cell r="F35" t="str">
            <v>6.1.1.</v>
          </cell>
          <cell r="G35" t="str">
            <v xml:space="preserve">Alvenaria de elevação com blocos de concreto: 40 X 20 X 20, e = 20cm  </v>
          </cell>
          <cell r="H35" t="str">
            <v xml:space="preserve">m2    </v>
          </cell>
          <cell r="I35">
            <v>21</v>
          </cell>
          <cell r="J35">
            <v>45.68</v>
          </cell>
          <cell r="K35">
            <v>50.25</v>
          </cell>
          <cell r="L35">
            <v>959.28</v>
          </cell>
        </row>
        <row r="36">
          <cell r="D36" t="str">
            <v xml:space="preserve">  A. 32.            </v>
          </cell>
          <cell r="E36" t="str">
            <v>CP0962</v>
          </cell>
          <cell r="F36" t="str">
            <v>6.2.</v>
          </cell>
          <cell r="G36" t="str">
            <v xml:space="preserve">Reboco paulista  </v>
          </cell>
          <cell r="H36" t="str">
            <v xml:space="preserve">m2    </v>
          </cell>
          <cell r="I36">
            <v>118</v>
          </cell>
          <cell r="J36">
            <v>14.51</v>
          </cell>
          <cell r="K36">
            <v>24.95</v>
          </cell>
          <cell r="L36">
            <v>1712.18</v>
          </cell>
        </row>
        <row r="37">
          <cell r="D37" t="str">
            <v xml:space="preserve">  A. 33.            </v>
          </cell>
          <cell r="E37" t="str">
            <v>CP0968</v>
          </cell>
          <cell r="F37" t="str">
            <v>6.3.</v>
          </cell>
          <cell r="G37" t="str">
            <v xml:space="preserve">Emboco com argamassa de cimento e saibro, traço 1:6  </v>
          </cell>
          <cell r="H37" t="str">
            <v xml:space="preserve">m2    </v>
          </cell>
          <cell r="I37">
            <v>118</v>
          </cell>
          <cell r="J37">
            <v>11.33</v>
          </cell>
          <cell r="K37">
            <v>16.16</v>
          </cell>
          <cell r="L37">
            <v>1336.94</v>
          </cell>
        </row>
        <row r="38">
          <cell r="D38" t="str">
            <v xml:space="preserve">  A. 34.            </v>
          </cell>
          <cell r="E38" t="str">
            <v>CP0205</v>
          </cell>
          <cell r="F38" t="str">
            <v>6.4.</v>
          </cell>
          <cell r="G38" t="str">
            <v xml:space="preserve">Chapisco com cimento AF-2 e areia traço 1:3  </v>
          </cell>
          <cell r="H38" t="str">
            <v xml:space="preserve">m2    </v>
          </cell>
          <cell r="I38">
            <v>118</v>
          </cell>
          <cell r="J38">
            <v>3.1</v>
          </cell>
          <cell r="K38">
            <v>3.58</v>
          </cell>
          <cell r="L38">
            <v>365.8</v>
          </cell>
        </row>
        <row r="39">
          <cell r="D39" t="str">
            <v xml:space="preserve">  A. 35.            </v>
          </cell>
          <cell r="E39" t="str">
            <v>CP0142</v>
          </cell>
          <cell r="F39" t="str">
            <v>6.5.</v>
          </cell>
          <cell r="G39" t="str">
            <v xml:space="preserve">Emassamento  </v>
          </cell>
          <cell r="H39" t="str">
            <v xml:space="preserve">m2    </v>
          </cell>
          <cell r="I39">
            <v>42</v>
          </cell>
          <cell r="J39">
            <v>9.4700000000000006</v>
          </cell>
          <cell r="K39">
            <v>7.92</v>
          </cell>
          <cell r="L39">
            <v>397.74</v>
          </cell>
        </row>
        <row r="40">
          <cell r="D40" t="str">
            <v xml:space="preserve">  A. 36.            </v>
          </cell>
          <cell r="E40" t="str">
            <v xml:space="preserve">      </v>
          </cell>
          <cell r="F40" t="str">
            <v>6.6.</v>
          </cell>
          <cell r="G40" t="str">
            <v xml:space="preserve">Pintura sem massa corrida:  </v>
          </cell>
          <cell r="H40" t="str">
            <v xml:space="preserve">      </v>
          </cell>
          <cell r="I40">
            <v>0</v>
          </cell>
          <cell r="J40">
            <v>0</v>
          </cell>
          <cell r="K40">
            <v>0</v>
          </cell>
          <cell r="L40">
            <v>0</v>
          </cell>
        </row>
        <row r="41">
          <cell r="D41" t="str">
            <v xml:space="preserve">  A. 37.            </v>
          </cell>
          <cell r="E41" t="str">
            <v>CP0233</v>
          </cell>
          <cell r="F41" t="str">
            <v>6.6.1.</v>
          </cell>
          <cell r="G41" t="str">
            <v xml:space="preserve">Esmalte sintético acetinado cor branco gelo da CORAL ou similar  </v>
          </cell>
          <cell r="H41" t="str">
            <v xml:space="preserve">m2    </v>
          </cell>
          <cell r="I41">
            <v>76</v>
          </cell>
          <cell r="J41">
            <v>8.7899999999999991</v>
          </cell>
          <cell r="K41">
            <v>12.55</v>
          </cell>
          <cell r="L41">
            <v>668.04</v>
          </cell>
        </row>
        <row r="42">
          <cell r="D42" t="str">
            <v xml:space="preserve">  A. 38.            </v>
          </cell>
          <cell r="E42" t="str">
            <v>CP0227</v>
          </cell>
          <cell r="F42" t="str">
            <v>6.6.2.</v>
          </cell>
          <cell r="G42" t="str">
            <v xml:space="preserve">Revestimento Acril-color LT / liso da FACE-COLOR, ou similar referência de tonalidade 1226 P da CORAL ou similar  </v>
          </cell>
          <cell r="H42" t="str">
            <v xml:space="preserve">m2    </v>
          </cell>
          <cell r="I42">
            <v>97</v>
          </cell>
          <cell r="J42">
            <v>9.35</v>
          </cell>
          <cell r="K42">
            <v>15.34</v>
          </cell>
          <cell r="L42">
            <v>906.95</v>
          </cell>
        </row>
        <row r="43">
          <cell r="D43" t="str">
            <v xml:space="preserve">  A. 39.            </v>
          </cell>
          <cell r="E43" t="str">
            <v>CP0221</v>
          </cell>
          <cell r="F43" t="str">
            <v>6.6.3.</v>
          </cell>
          <cell r="G43" t="str">
            <v xml:space="preserve">Revestimento Acril-color LT / liso da FACE-COLOR, ou similar referência de tonalidade 1232 m da CORAL ou similar  </v>
          </cell>
          <cell r="H43" t="str">
            <v xml:space="preserve">m2    </v>
          </cell>
          <cell r="I43">
            <v>29</v>
          </cell>
          <cell r="J43">
            <v>10.74</v>
          </cell>
          <cell r="K43">
            <v>15.34</v>
          </cell>
          <cell r="L43">
            <v>311.45999999999998</v>
          </cell>
        </row>
        <row r="44">
          <cell r="D44" t="str">
            <v xml:space="preserve">  A. 40.            </v>
          </cell>
          <cell r="E44" t="str">
            <v>CP0128</v>
          </cell>
          <cell r="F44" t="str">
            <v>6.7.</v>
          </cell>
          <cell r="G44" t="str">
            <v xml:space="preserve">Cimentado rústico esp. = 3 cm, com junta plástica  </v>
          </cell>
          <cell r="H44" t="str">
            <v xml:space="preserve">m2    </v>
          </cell>
          <cell r="I44">
            <v>37</v>
          </cell>
          <cell r="J44">
            <v>16.27</v>
          </cell>
          <cell r="K44">
            <v>13.82</v>
          </cell>
          <cell r="L44">
            <v>601.99</v>
          </cell>
        </row>
        <row r="45">
          <cell r="D45" t="str">
            <v xml:space="preserve">  A. 41.            </v>
          </cell>
          <cell r="E45" t="str">
            <v xml:space="preserve">      </v>
          </cell>
          <cell r="F45" t="str">
            <v>6.8.</v>
          </cell>
          <cell r="G45" t="str">
            <v xml:space="preserve">Cobertura  </v>
          </cell>
          <cell r="H45" t="str">
            <v xml:space="preserve">      </v>
          </cell>
          <cell r="I45">
            <v>0</v>
          </cell>
          <cell r="J45">
            <v>0</v>
          </cell>
          <cell r="K45">
            <v>0</v>
          </cell>
          <cell r="L45">
            <v>0</v>
          </cell>
        </row>
        <row r="46">
          <cell r="D46" t="str">
            <v xml:space="preserve">  A. 42.            </v>
          </cell>
          <cell r="E46" t="str">
            <v>CP0133</v>
          </cell>
          <cell r="F46" t="str">
            <v>6.8.1.</v>
          </cell>
          <cell r="G46" t="str">
            <v xml:space="preserve">Calha em chapa galvanizada MSG16 com rufo e acessórios de fixação  </v>
          </cell>
          <cell r="H46" t="str">
            <v xml:space="preserve">m     </v>
          </cell>
          <cell r="I46">
            <v>9</v>
          </cell>
          <cell r="J46">
            <v>106.29</v>
          </cell>
          <cell r="K46">
            <v>233.63</v>
          </cell>
          <cell r="L46">
            <v>956.61</v>
          </cell>
        </row>
        <row r="47">
          <cell r="D47" t="str">
            <v xml:space="preserve">  A. 43.            </v>
          </cell>
          <cell r="E47" t="str">
            <v>CP0276</v>
          </cell>
          <cell r="F47" t="str">
            <v>6.8.2.</v>
          </cell>
          <cell r="G47" t="str">
            <v xml:space="preserve">Rufo em chapa galvanizada  </v>
          </cell>
          <cell r="H47" t="str">
            <v xml:space="preserve">m     </v>
          </cell>
          <cell r="I47">
            <v>37</v>
          </cell>
          <cell r="J47">
            <v>36.020000000000003</v>
          </cell>
          <cell r="K47">
            <v>51.45</v>
          </cell>
          <cell r="L47">
            <v>1332.74</v>
          </cell>
        </row>
        <row r="48">
          <cell r="D48" t="str">
            <v xml:space="preserve">  A. 44.            </v>
          </cell>
          <cell r="E48" t="str">
            <v>CP0988</v>
          </cell>
          <cell r="F48" t="str">
            <v>6.8.3.</v>
          </cell>
          <cell r="G48" t="str">
            <v xml:space="preserve">Estrutura e cobertura em telha de fibrocimento ondulada 6 mm - tipo pontaletada  </v>
          </cell>
          <cell r="H48" t="str">
            <v xml:space="preserve">m2    </v>
          </cell>
          <cell r="I48">
            <v>76</v>
          </cell>
          <cell r="J48">
            <v>60.36</v>
          </cell>
          <cell r="K48">
            <v>54.84</v>
          </cell>
          <cell r="L48">
            <v>4587.3599999999997</v>
          </cell>
        </row>
        <row r="49">
          <cell r="D49" t="str">
            <v xml:space="preserve">  A. 45.            </v>
          </cell>
          <cell r="E49" t="str">
            <v xml:space="preserve">      </v>
          </cell>
          <cell r="F49" t="str">
            <v>6.9.</v>
          </cell>
          <cell r="G49" t="str">
            <v xml:space="preserve">Diversos  </v>
          </cell>
          <cell r="H49" t="str">
            <v xml:space="preserve">      </v>
          </cell>
          <cell r="I49">
            <v>0</v>
          </cell>
          <cell r="J49">
            <v>0</v>
          </cell>
          <cell r="K49">
            <v>0</v>
          </cell>
          <cell r="L49">
            <v>0</v>
          </cell>
        </row>
        <row r="50">
          <cell r="D50" t="str">
            <v xml:space="preserve">  A. 46.            </v>
          </cell>
          <cell r="E50" t="str">
            <v>CP0135</v>
          </cell>
          <cell r="F50" t="str">
            <v>6.9.1.</v>
          </cell>
          <cell r="G50" t="str">
            <v xml:space="preserve">Guarda-corpo para escada, inclusive acessórios, conforme projeto  </v>
          </cell>
          <cell r="H50" t="str">
            <v xml:space="preserve">m     </v>
          </cell>
          <cell r="I50">
            <v>72</v>
          </cell>
          <cell r="J50">
            <v>129.85</v>
          </cell>
          <cell r="K50">
            <v>108.46</v>
          </cell>
          <cell r="L50">
            <v>9349.2000000000007</v>
          </cell>
        </row>
        <row r="51">
          <cell r="D51" t="str">
            <v xml:space="preserve">  A. 47.            </v>
          </cell>
          <cell r="E51" t="str">
            <v xml:space="preserve">      </v>
          </cell>
          <cell r="F51" t="str">
            <v>7.</v>
          </cell>
          <cell r="G51" t="str">
            <v xml:space="preserve">Fornecimento de Tubos, Peças, Conexões e Aparelhos Hidráulicos  </v>
          </cell>
          <cell r="H51" t="str">
            <v xml:space="preserve">      </v>
          </cell>
          <cell r="I51">
            <v>0</v>
          </cell>
          <cell r="J51">
            <v>0</v>
          </cell>
          <cell r="K51">
            <v>0</v>
          </cell>
          <cell r="L51">
            <v>0</v>
          </cell>
        </row>
        <row r="52">
          <cell r="D52" t="str">
            <v xml:space="preserve">  A. 48.            </v>
          </cell>
          <cell r="E52" t="str">
            <v xml:space="preserve">      </v>
          </cell>
          <cell r="F52" t="str">
            <v>7.1.</v>
          </cell>
          <cell r="G52" t="str">
            <v xml:space="preserve">Tubos e conexões em ferro dúctil, centrifugados, c/ revestimento interno de cimento e externo em pintura betuminosa anticorrosiva na cor preta.  </v>
          </cell>
          <cell r="H52" t="str">
            <v xml:space="preserve">      </v>
          </cell>
          <cell r="I52">
            <v>0</v>
          </cell>
          <cell r="J52">
            <v>0</v>
          </cell>
          <cell r="K52">
            <v>0</v>
          </cell>
          <cell r="L52">
            <v>0</v>
          </cell>
        </row>
        <row r="53">
          <cell r="D53" t="str">
            <v xml:space="preserve">  A. 49.            </v>
          </cell>
          <cell r="E53" t="str">
            <v>CP1021</v>
          </cell>
          <cell r="F53" t="str">
            <v>7.1.1.</v>
          </cell>
          <cell r="G53" t="str">
            <v xml:space="preserve">Tubos e conexões em ferro dúctil, centrifugados, c/ revestimento interno de cimento e externo em pintura betuminosa anticorrosiva na cor preta. Tubo dúctil JE TK7 JGS D= 200 mm  </v>
          </cell>
          <cell r="H53" t="str">
            <v xml:space="preserve">m     </v>
          </cell>
          <cell r="I53">
            <v>12</v>
          </cell>
          <cell r="J53">
            <v>233.27</v>
          </cell>
          <cell r="K53">
            <v>200.37</v>
          </cell>
          <cell r="L53">
            <v>2799.24</v>
          </cell>
        </row>
        <row r="54">
          <cell r="D54" t="str">
            <v xml:space="preserve">  A. 50.            </v>
          </cell>
          <cell r="E54" t="str">
            <v xml:space="preserve">      </v>
          </cell>
          <cell r="F54" t="str">
            <v>7.1.2.</v>
          </cell>
          <cell r="G54" t="str">
            <v xml:space="preserve">Curva 90o com flanges, PN 10  </v>
          </cell>
          <cell r="H54" t="str">
            <v xml:space="preserve">      </v>
          </cell>
          <cell r="I54">
            <v>0</v>
          </cell>
          <cell r="J54">
            <v>0</v>
          </cell>
          <cell r="K54">
            <v>0</v>
          </cell>
          <cell r="L54">
            <v>0</v>
          </cell>
        </row>
        <row r="55">
          <cell r="D55" t="str">
            <v xml:space="preserve">  A. 51.            </v>
          </cell>
          <cell r="E55" t="str">
            <v>CP1001</v>
          </cell>
          <cell r="F55" t="str">
            <v>7.1.2.1.</v>
          </cell>
          <cell r="G55" t="str">
            <v xml:space="preserve">Tubos e conexões em ferro dúctil, centrifugados, c/ revestimento interno de cimento e externo em pintura betuminosa anticorrosiva na cor preta. Curva 90o com flanges, PN 10 C90FF10 D-250 mm  </v>
          </cell>
          <cell r="H55" t="str">
            <v xml:space="preserve">pç    </v>
          </cell>
          <cell r="I55">
            <v>2</v>
          </cell>
          <cell r="J55">
            <v>388.17</v>
          </cell>
          <cell r="K55">
            <v>324.37</v>
          </cell>
          <cell r="L55">
            <v>776.34</v>
          </cell>
        </row>
        <row r="56">
          <cell r="D56" t="str">
            <v xml:space="preserve">  A. 52.            </v>
          </cell>
          <cell r="E56" t="str">
            <v>CP1002</v>
          </cell>
          <cell r="F56" t="str">
            <v>7.1.2.2.</v>
          </cell>
          <cell r="G56" t="str">
            <v xml:space="preserve">Tubos e conexões em ferro dúctil, centrifugados, c/ revestimento interno de cimento e externo em pintura betuminosa anticorrosiva na cor preta. Curva 90o com flanges, PN 10 C90FF10 D=200 mm  </v>
          </cell>
          <cell r="H56" t="str">
            <v xml:space="preserve">pç    </v>
          </cell>
          <cell r="I56">
            <v>7</v>
          </cell>
          <cell r="J56">
            <v>434.47</v>
          </cell>
          <cell r="K56">
            <v>420.61</v>
          </cell>
          <cell r="L56">
            <v>3041.29</v>
          </cell>
        </row>
        <row r="57">
          <cell r="D57" t="str">
            <v xml:space="preserve">  A. 53.            </v>
          </cell>
          <cell r="E57" t="str">
            <v>CP4504</v>
          </cell>
          <cell r="F57" t="str">
            <v>7.1.3.</v>
          </cell>
          <cell r="G57" t="str">
            <v xml:space="preserve">Tubos e conexões em ferro dúctil, centrifugados, c/ revestimento interno de cimento e externo em pintura betuminosa anticorrosiva na cor preta. Extremidade FP JE PN 10 DN 200 (EFP10 200)  </v>
          </cell>
          <cell r="H57" t="str">
            <v xml:space="preserve">pç    </v>
          </cell>
          <cell r="I57">
            <v>2</v>
          </cell>
          <cell r="J57">
            <v>163.63999999999999</v>
          </cell>
          <cell r="K57">
            <v>137.05000000000001</v>
          </cell>
          <cell r="L57">
            <v>327.27999999999997</v>
          </cell>
        </row>
        <row r="58">
          <cell r="D58" t="str">
            <v xml:space="preserve">  A. 54.            </v>
          </cell>
          <cell r="E58" t="str">
            <v>CP1676</v>
          </cell>
          <cell r="F58" t="str">
            <v>7.1.4.</v>
          </cell>
          <cell r="G58" t="str">
            <v xml:space="preserve">Tubos e conexões em ferro dúctil, centrifugados, c/ revestimento interno de cimento e externo em pintura betuminosa anticorrosiva na cor preta. Extremidade FB JE PN 10 DN 200 (EFJGS10 200)  </v>
          </cell>
          <cell r="H58" t="str">
            <v xml:space="preserve">pç    </v>
          </cell>
          <cell r="I58">
            <v>1</v>
          </cell>
          <cell r="J58">
            <v>304.56</v>
          </cell>
          <cell r="K58">
            <v>294.85000000000002</v>
          </cell>
          <cell r="L58">
            <v>304.56</v>
          </cell>
        </row>
        <row r="59">
          <cell r="D59" t="str">
            <v xml:space="preserve">  A. 55.            </v>
          </cell>
          <cell r="E59" t="str">
            <v>CP0995</v>
          </cell>
          <cell r="F59" t="str">
            <v>7.1.5.</v>
          </cell>
          <cell r="G59" t="str">
            <v xml:space="preserve">Tubos e conexões em ferro dúctil, centrifugados, c/ revestimento interno de cimento e externo em pintura betuminosa anticorrosiva na cor preta. Extremidade ponta e flange com aba de vedação, PN 10 DN 200 (EPFAV10 200 mm)  </v>
          </cell>
          <cell r="H59" t="str">
            <v xml:space="preserve">pç    </v>
          </cell>
          <cell r="I59">
            <v>2</v>
          </cell>
          <cell r="J59">
            <v>469.72</v>
          </cell>
          <cell r="K59">
            <v>392.49</v>
          </cell>
          <cell r="L59">
            <v>939.44</v>
          </cell>
        </row>
        <row r="60">
          <cell r="D60" t="str">
            <v xml:space="preserve">  A. 56.            </v>
          </cell>
          <cell r="E60" t="str">
            <v>CP1553</v>
          </cell>
          <cell r="F60" t="str">
            <v>7.1.6.</v>
          </cell>
          <cell r="G60" t="str">
            <v xml:space="preserve">Tubos e conexões em ferro dúctil, centrifugados, c/ revestimento interno de cimento e externo em pintura betuminosa anticorrosiva na cor preta. Toco com flanges e aba de vedação PN 10 DN 200  </v>
          </cell>
          <cell r="H60" t="str">
            <v xml:space="preserve">pç    </v>
          </cell>
          <cell r="I60">
            <v>5</v>
          </cell>
          <cell r="J60">
            <v>703.76</v>
          </cell>
          <cell r="K60">
            <v>589.80999999999995</v>
          </cell>
          <cell r="L60">
            <v>3518.8</v>
          </cell>
        </row>
        <row r="61">
          <cell r="D61" t="str">
            <v xml:space="preserve">  A. 57.            </v>
          </cell>
          <cell r="E61" t="str">
            <v>CP1615</v>
          </cell>
          <cell r="F61" t="str">
            <v>7.1.7.</v>
          </cell>
          <cell r="G61" t="str">
            <v xml:space="preserve">Tubos e conexões em ferro dúctil, centrifugados, c/ revestimento interno de cimento e externo em pintura betuminosa anticorrosiva na cor preta. Toco com flanges PN 10 TOF10 200 mm x 25  </v>
          </cell>
          <cell r="H61" t="str">
            <v xml:space="preserve">pç    </v>
          </cell>
          <cell r="I61">
            <v>2</v>
          </cell>
          <cell r="J61">
            <v>309.75</v>
          </cell>
          <cell r="K61">
            <v>442.5</v>
          </cell>
          <cell r="L61">
            <v>619.5</v>
          </cell>
        </row>
        <row r="62">
          <cell r="D62" t="str">
            <v xml:space="preserve">  A. 58.            </v>
          </cell>
          <cell r="E62" t="str">
            <v xml:space="preserve">      </v>
          </cell>
          <cell r="F62" t="str">
            <v>7.1.8.</v>
          </cell>
          <cell r="G62" t="str">
            <v xml:space="preserve">Tubos e conexões em ferro dúctil, centrifugados, c/ revestimento interno de cimento e externo em pintura betuminosa anticorrosiva na cor preta. Tubo com flanges, PN 10  </v>
          </cell>
          <cell r="H62" t="str">
            <v xml:space="preserve">      </v>
          </cell>
          <cell r="I62">
            <v>0</v>
          </cell>
          <cell r="J62">
            <v>0</v>
          </cell>
          <cell r="K62">
            <v>0</v>
          </cell>
          <cell r="L62">
            <v>0</v>
          </cell>
        </row>
        <row r="63">
          <cell r="D63" t="str">
            <v xml:space="preserve">  A. 59.            </v>
          </cell>
          <cell r="E63" t="str">
            <v>CP1502</v>
          </cell>
          <cell r="F63" t="str">
            <v>7.1.8.1.</v>
          </cell>
          <cell r="G63" t="str">
            <v xml:space="preserve">Tubos e conexões em ferro dúctil, centrifugados, c/ revestimento interno de cimento e externo em pintura betuminosa anticorrosiva na cor preta. Tubo com flanges, PN 10 DN 200, L = 4,50 m  </v>
          </cell>
          <cell r="H63" t="str">
            <v xml:space="preserve">pç    </v>
          </cell>
          <cell r="I63">
            <v>2</v>
          </cell>
          <cell r="J63">
            <v>2174.67</v>
          </cell>
          <cell r="K63">
            <v>1822.1</v>
          </cell>
          <cell r="L63">
            <v>4349.34</v>
          </cell>
        </row>
        <row r="64">
          <cell r="D64" t="str">
            <v xml:space="preserve">  A. 60.            </v>
          </cell>
          <cell r="E64" t="str">
            <v>CP1560</v>
          </cell>
          <cell r="F64" t="str">
            <v>7.1.8.2.</v>
          </cell>
          <cell r="G64" t="str">
            <v xml:space="preserve">Tubos e conexões em ferro dúctil, centrifugados, c/ revestimento interno de cimento e externo em pintura betuminosa anticorrosiva na cor preta. Tubo com flanges, PN 10 DN 200, L = 2,00 m  </v>
          </cell>
          <cell r="H64" t="str">
            <v xml:space="preserve">pç    </v>
          </cell>
          <cell r="I64">
            <v>1</v>
          </cell>
          <cell r="J64">
            <v>1298.46</v>
          </cell>
          <cell r="K64">
            <v>1117.21</v>
          </cell>
          <cell r="L64">
            <v>1298.46</v>
          </cell>
        </row>
        <row r="65">
          <cell r="D65" t="str">
            <v xml:space="preserve">  A. 61.            </v>
          </cell>
          <cell r="E65" t="str">
            <v>CP1552</v>
          </cell>
          <cell r="F65" t="str">
            <v>7.1.8.3.</v>
          </cell>
          <cell r="G65" t="str">
            <v xml:space="preserve">Tubos e conexões em ferro dúctil, centrifugados, c/ revestimento interno de cimento e externo em pintura betuminosa anticorrosiva na cor preta. Tubo com flanges, PN 10 DN 200, L = 1,20 m  </v>
          </cell>
          <cell r="H65" t="str">
            <v xml:space="preserve">pç    </v>
          </cell>
          <cell r="I65">
            <v>1</v>
          </cell>
          <cell r="J65">
            <v>1135.6300000000001</v>
          </cell>
          <cell r="K65">
            <v>977.13</v>
          </cell>
          <cell r="L65">
            <v>1135.6300000000001</v>
          </cell>
        </row>
        <row r="66">
          <cell r="D66" t="str">
            <v xml:space="preserve">  A. 62.            </v>
          </cell>
          <cell r="E66" t="str">
            <v>CP1561</v>
          </cell>
          <cell r="F66" t="str">
            <v>7.1.8.4.</v>
          </cell>
          <cell r="G66" t="str">
            <v xml:space="preserve">Tubos e conexões em ferro dúctil, centrifugados, c/ revestimento interno de cimento e externo em pintura betuminosa anticorrosiva na cor preta. Tubo com flanges, PN 10 DN 200, L = 1,05 m  </v>
          </cell>
          <cell r="H66" t="str">
            <v xml:space="preserve">pç    </v>
          </cell>
          <cell r="I66">
            <v>1</v>
          </cell>
          <cell r="J66">
            <v>1135.6300000000001</v>
          </cell>
          <cell r="K66">
            <v>977.13</v>
          </cell>
          <cell r="L66">
            <v>1135.6300000000001</v>
          </cell>
        </row>
        <row r="67">
          <cell r="D67" t="str">
            <v xml:space="preserve">  A. 63.            </v>
          </cell>
          <cell r="E67" t="str">
            <v>CP1581</v>
          </cell>
          <cell r="F67" t="str">
            <v>7.1.8.5.</v>
          </cell>
          <cell r="G67" t="str">
            <v xml:space="preserve">Tubos e conexões em ferro dúctil, centrifugados, c/ revestimento interno de cimento e externo em pintura betuminosa anticorrosiva na cor preta. Tubo com flanges, PN 10 DN 200, L = 0,80 m  </v>
          </cell>
          <cell r="H67" t="str">
            <v xml:space="preserve">pç    </v>
          </cell>
          <cell r="I67">
            <v>2</v>
          </cell>
          <cell r="J67">
            <v>971.06</v>
          </cell>
          <cell r="K67">
            <v>835.5</v>
          </cell>
          <cell r="L67">
            <v>1942.12</v>
          </cell>
        </row>
        <row r="68">
          <cell r="D68" t="str">
            <v xml:space="preserve">  A. 64.            </v>
          </cell>
          <cell r="E68" t="str">
            <v xml:space="preserve">      </v>
          </cell>
          <cell r="F68" t="str">
            <v>7.1.9.</v>
          </cell>
          <cell r="G68" t="str">
            <v xml:space="preserve">Tubos e conexões em ferro dúctil, centrifugados, c/ revestimento interno de cimento e externo em pintura betuminosa anticorrosiva na cor preta. Redução excêntrica com flanges, PN 10:  </v>
          </cell>
          <cell r="H68" t="str">
            <v xml:space="preserve">      </v>
          </cell>
          <cell r="I68">
            <v>0</v>
          </cell>
          <cell r="J68">
            <v>0</v>
          </cell>
          <cell r="K68">
            <v>0</v>
          </cell>
          <cell r="L68">
            <v>0</v>
          </cell>
        </row>
        <row r="69">
          <cell r="D69" t="str">
            <v xml:space="preserve">  A. 65.            </v>
          </cell>
          <cell r="E69" t="str">
            <v>CP1013</v>
          </cell>
          <cell r="F69" t="str">
            <v>7.1.9.1.</v>
          </cell>
          <cell r="G69" t="str">
            <v xml:space="preserve">Tubos e conexões em ferro dúctil, centrifugados, c/ revestimento interno de cimento e externo em pintura betuminosa anticorrosiva na cor preta. Redução excêntrica com flanges, PN 10: RPBJE 250 x 200 mm  </v>
          </cell>
          <cell r="H69" t="str">
            <v xml:space="preserve">pç    </v>
          </cell>
          <cell r="I69">
            <v>2</v>
          </cell>
          <cell r="J69">
            <v>137</v>
          </cell>
          <cell r="K69">
            <v>114.64</v>
          </cell>
          <cell r="L69">
            <v>274</v>
          </cell>
        </row>
        <row r="70">
          <cell r="D70" t="str">
            <v xml:space="preserve">  A. 66.            </v>
          </cell>
          <cell r="E70" t="str">
            <v xml:space="preserve">      </v>
          </cell>
          <cell r="F70" t="str">
            <v>7.1.10.</v>
          </cell>
          <cell r="G70" t="str">
            <v xml:space="preserve">Tubos e conexões em ferro dúctil, centrifugados, c/ revestimento interno de cimento e externo em pintura betuminosa anticorrosiva na cor preta. Tubo com flange e ponta, PN 10  </v>
          </cell>
          <cell r="H70" t="str">
            <v xml:space="preserve">      </v>
          </cell>
          <cell r="I70">
            <v>0</v>
          </cell>
          <cell r="J70">
            <v>0</v>
          </cell>
          <cell r="K70">
            <v>0</v>
          </cell>
          <cell r="L70">
            <v>0</v>
          </cell>
        </row>
        <row r="71">
          <cell r="D71" t="str">
            <v xml:space="preserve">  A. 67.            </v>
          </cell>
          <cell r="E71" t="str">
            <v>CP1608</v>
          </cell>
          <cell r="F71" t="str">
            <v>7.1.10.1.</v>
          </cell>
          <cell r="G71" t="str">
            <v xml:space="preserve">Tubos e conexões em ferro dúctil, centrifugados, c/ revestimento interno de cimento e externo em pintura betuminosa anticorrosiva na cor preta. Tubo com flange e ponta, PN 10 DN 200, L = 1,30 m  </v>
          </cell>
          <cell r="H71" t="str">
            <v xml:space="preserve">pç    </v>
          </cell>
          <cell r="I71">
            <v>3</v>
          </cell>
          <cell r="J71">
            <v>812.91</v>
          </cell>
          <cell r="K71">
            <v>977.13</v>
          </cell>
          <cell r="L71">
            <v>2438.73</v>
          </cell>
        </row>
        <row r="72">
          <cell r="D72" t="str">
            <v xml:space="preserve">  A. 68.            </v>
          </cell>
          <cell r="E72" t="str">
            <v>CP1620</v>
          </cell>
          <cell r="F72" t="str">
            <v>7.1.10.2.</v>
          </cell>
          <cell r="G72" t="str">
            <v xml:space="preserve">Tubos e conexões em ferro dúctil, centrifugados, c/ revestimento interno de cimento e externo em pintura betuminosa anticorrosiva na cor preta. Tubo com flange e ponta, PN 10 DN 200, L = 1,05 m  </v>
          </cell>
          <cell r="H72" t="str">
            <v xml:space="preserve">pç    </v>
          </cell>
          <cell r="I72">
            <v>1</v>
          </cell>
          <cell r="J72">
            <v>812.91</v>
          </cell>
          <cell r="K72">
            <v>977.13</v>
          </cell>
          <cell r="L72">
            <v>812.91</v>
          </cell>
        </row>
        <row r="73">
          <cell r="D73" t="str">
            <v xml:space="preserve">  A. 69.            </v>
          </cell>
          <cell r="E73" t="str">
            <v>CP1647</v>
          </cell>
          <cell r="F73" t="str">
            <v>7.1.10.3.</v>
          </cell>
          <cell r="G73" t="str">
            <v xml:space="preserve">Tubos e conexões em ferro dúctil, centrifugados, c/ revestimento interno de cimento e externo em pintura betuminosa anticorrosiva na cor preta. Tubo com flange e ponta, PN 10 DN 200, L = 0,70 m  </v>
          </cell>
          <cell r="H73" t="str">
            <v xml:space="preserve">pç    </v>
          </cell>
          <cell r="I73">
            <v>1</v>
          </cell>
          <cell r="J73">
            <v>586.41999999999996</v>
          </cell>
          <cell r="K73">
            <v>835.5</v>
          </cell>
          <cell r="L73">
            <v>586.41999999999996</v>
          </cell>
        </row>
        <row r="74">
          <cell r="D74" t="str">
            <v xml:space="preserve">  A. 70.            </v>
          </cell>
          <cell r="E74" t="str">
            <v>CP0992</v>
          </cell>
          <cell r="F74" t="str">
            <v>7.1.11.</v>
          </cell>
          <cell r="G74" t="str">
            <v xml:space="preserve">Tubos e conexões em ferro dúctil, centrifugados, c/ revestimento interno de cimento e externo em pintura betuminosa anticorrosiva na cor preta. Tê com flanges PN 10 DN 200 (TFF10 D=200x200 mm)  </v>
          </cell>
          <cell r="H74" t="str">
            <v xml:space="preserve">pç    </v>
          </cell>
          <cell r="I74">
            <v>2</v>
          </cell>
          <cell r="J74">
            <v>793.81</v>
          </cell>
          <cell r="K74">
            <v>768.47</v>
          </cell>
          <cell r="L74">
            <v>1587.62</v>
          </cell>
        </row>
        <row r="75">
          <cell r="D75" t="str">
            <v xml:space="preserve">  A. 71.            </v>
          </cell>
          <cell r="E75" t="str">
            <v>CP0991</v>
          </cell>
          <cell r="F75" t="str">
            <v>7.1.12.</v>
          </cell>
          <cell r="G75" t="str">
            <v xml:space="preserve">Tubos e conexões em ferro dúctil, centrifugados, c/ revestimento interno de cimento e externo em pintura betuminosa anticorrosiva na cor preta. Flange avulso PN10 FA10 D=200 mm  </v>
          </cell>
          <cell r="H75" t="str">
            <v xml:space="preserve">pç    </v>
          </cell>
          <cell r="I75">
            <v>1</v>
          </cell>
          <cell r="J75">
            <v>59.07</v>
          </cell>
          <cell r="K75">
            <v>49.53</v>
          </cell>
          <cell r="L75">
            <v>59.07</v>
          </cell>
        </row>
        <row r="76">
          <cell r="D76" t="str">
            <v xml:space="preserve">  A. 72.            </v>
          </cell>
          <cell r="E76" t="str">
            <v>CP1008</v>
          </cell>
          <cell r="F76" t="str">
            <v>7.1.13.</v>
          </cell>
          <cell r="G76" t="str">
            <v xml:space="preserve">Tubos e conexões em ferro dúctil, centrifugados, c/ revestimento interno de cimento e externo em pintura betuminosa anticorrosiva na cor preta. Carretel completo CLC10 D=200 mm x 0,25  </v>
          </cell>
          <cell r="H76" t="str">
            <v xml:space="preserve">pç    </v>
          </cell>
          <cell r="I76">
            <v>5</v>
          </cell>
          <cell r="J76">
            <v>563.11</v>
          </cell>
          <cell r="K76">
            <v>469.98</v>
          </cell>
          <cell r="L76">
            <v>2815.55</v>
          </cell>
        </row>
        <row r="77">
          <cell r="D77" t="str">
            <v xml:space="preserve">  A. 73.            </v>
          </cell>
          <cell r="E77" t="str">
            <v>CP1432</v>
          </cell>
          <cell r="F77" t="str">
            <v>7.1.14.</v>
          </cell>
          <cell r="G77" t="str">
            <v xml:space="preserve">Tubos e conexões em ferro dúctil, centrifugados, c/ revestimento interno de cimento e externo em pintura betuminosa anticorrosiva na cor preta. Junta de montagem rígida PN 10 DN 200  </v>
          </cell>
          <cell r="H77" t="str">
            <v xml:space="preserve">pç    </v>
          </cell>
          <cell r="I77">
            <v>4</v>
          </cell>
          <cell r="J77">
            <v>2486.25</v>
          </cell>
          <cell r="K77">
            <v>2079.63</v>
          </cell>
          <cell r="L77">
            <v>9945</v>
          </cell>
        </row>
        <row r="78">
          <cell r="D78" t="str">
            <v xml:space="preserve">  A. 74.            </v>
          </cell>
          <cell r="E78" t="str">
            <v xml:space="preserve">      </v>
          </cell>
          <cell r="F78" t="str">
            <v>7.2.</v>
          </cell>
          <cell r="G78" t="str">
            <v xml:space="preserve">Válvulas e aparelhos de ferro dúctil:  </v>
          </cell>
          <cell r="H78" t="str">
            <v xml:space="preserve">      </v>
          </cell>
          <cell r="I78">
            <v>0</v>
          </cell>
          <cell r="J78">
            <v>0</v>
          </cell>
          <cell r="K78">
            <v>0</v>
          </cell>
          <cell r="L78">
            <v>0</v>
          </cell>
        </row>
        <row r="79">
          <cell r="D79" t="str">
            <v xml:space="preserve">  A. 75.            </v>
          </cell>
          <cell r="E79" t="str">
            <v xml:space="preserve">      </v>
          </cell>
          <cell r="F79" t="str">
            <v>7.2.1.</v>
          </cell>
          <cell r="G79" t="str">
            <v xml:space="preserve">Válvulas e aparelhos de ferro dúctil: Válvula borboleta, c/ flanges, PN 10, acionamento elétrico:  </v>
          </cell>
          <cell r="H79" t="str">
            <v xml:space="preserve">      </v>
          </cell>
          <cell r="I79">
            <v>0</v>
          </cell>
          <cell r="J79">
            <v>0</v>
          </cell>
          <cell r="K79">
            <v>0</v>
          </cell>
          <cell r="L79">
            <v>0</v>
          </cell>
        </row>
        <row r="80">
          <cell r="D80" t="str">
            <v xml:space="preserve">  A. 76.            </v>
          </cell>
          <cell r="E80" t="str">
            <v>CP1352</v>
          </cell>
          <cell r="F80" t="str">
            <v>7.2.1.1.</v>
          </cell>
          <cell r="G80" t="str">
            <v xml:space="preserve">Válvulas e aparelhos de ferro dúctil: Válvula borboleta, c/ flanges, PN 10, acionamento elétrico: DN 200  </v>
          </cell>
          <cell r="H80" t="str">
            <v xml:space="preserve">un    </v>
          </cell>
          <cell r="I80">
            <v>2</v>
          </cell>
          <cell r="J80">
            <v>9250.11</v>
          </cell>
          <cell r="K80">
            <v>7731.19</v>
          </cell>
          <cell r="L80">
            <v>18500.22</v>
          </cell>
        </row>
        <row r="81">
          <cell r="D81" t="str">
            <v xml:space="preserve">  A. 77.            </v>
          </cell>
          <cell r="E81" t="str">
            <v xml:space="preserve">      </v>
          </cell>
          <cell r="F81" t="str">
            <v>7.2.2.</v>
          </cell>
          <cell r="G81" t="str">
            <v xml:space="preserve">Válvula borboleta com flanges, acionamento manual  </v>
          </cell>
          <cell r="H81" t="str">
            <v xml:space="preserve">      </v>
          </cell>
          <cell r="I81">
            <v>0</v>
          </cell>
          <cell r="J81">
            <v>0</v>
          </cell>
          <cell r="K81">
            <v>0</v>
          </cell>
          <cell r="L81">
            <v>0</v>
          </cell>
        </row>
        <row r="82">
          <cell r="D82" t="str">
            <v xml:space="preserve">  A. 78.            </v>
          </cell>
          <cell r="E82" t="str">
            <v>CP1373</v>
          </cell>
          <cell r="F82" t="str">
            <v>7.2.2.1.</v>
          </cell>
          <cell r="G82" t="str">
            <v xml:space="preserve">Válvula borboleta com flanges, acionamento manual DN 200  </v>
          </cell>
          <cell r="H82" t="str">
            <v xml:space="preserve">un    </v>
          </cell>
          <cell r="I82">
            <v>6</v>
          </cell>
          <cell r="J82">
            <v>9208.9599999999991</v>
          </cell>
          <cell r="K82">
            <v>7731.19</v>
          </cell>
          <cell r="L82">
            <v>55253.760000000002</v>
          </cell>
        </row>
        <row r="83">
          <cell r="D83" t="str">
            <v xml:space="preserve">  A. 79.            </v>
          </cell>
          <cell r="E83" t="str">
            <v>CP1479</v>
          </cell>
          <cell r="F83" t="str">
            <v>7.2.3.</v>
          </cell>
          <cell r="G83" t="str">
            <v xml:space="preserve">Válvulas e aparelhos de ferro dúctil: Pedestais de manobra simples, PMS-01  </v>
          </cell>
          <cell r="H83" t="str">
            <v xml:space="preserve">un    </v>
          </cell>
          <cell r="I83">
            <v>2</v>
          </cell>
          <cell r="J83">
            <v>433.99</v>
          </cell>
          <cell r="K83">
            <v>362.56</v>
          </cell>
          <cell r="L83">
            <v>867.98</v>
          </cell>
        </row>
        <row r="84">
          <cell r="D84" t="str">
            <v xml:space="preserve">  A. 80.            </v>
          </cell>
          <cell r="E84" t="str">
            <v>CP1753</v>
          </cell>
          <cell r="F84" t="str">
            <v>7.2.4.</v>
          </cell>
          <cell r="G84" t="str">
            <v xml:space="preserve">Válvulas e aparelhos de ferro dúctil: Robinete em bronze, rosca macho ø 1  </v>
          </cell>
          <cell r="H84" t="str">
            <v xml:space="preserve">un    </v>
          </cell>
          <cell r="I84">
            <v>2</v>
          </cell>
          <cell r="J84">
            <v>96.17</v>
          </cell>
          <cell r="K84">
            <v>80.73</v>
          </cell>
          <cell r="L84">
            <v>192.34</v>
          </cell>
        </row>
        <row r="85">
          <cell r="D85" t="str">
            <v xml:space="preserve">  A. 81.            </v>
          </cell>
          <cell r="E85" t="str">
            <v>CP1427</v>
          </cell>
          <cell r="F85" t="str">
            <v>7.2.5.</v>
          </cell>
          <cell r="G85" t="str">
            <v xml:space="preserve">Válvulas e aparelhos de ferro dúctil: Adufas de parede, DN 200 PN 10  </v>
          </cell>
          <cell r="H85" t="str">
            <v xml:space="preserve">un    </v>
          </cell>
          <cell r="I85">
            <v>2</v>
          </cell>
          <cell r="J85">
            <v>1052.22</v>
          </cell>
          <cell r="K85">
            <v>880.75</v>
          </cell>
          <cell r="L85">
            <v>2104.44</v>
          </cell>
        </row>
        <row r="86">
          <cell r="D86" t="str">
            <v xml:space="preserve">  A. 82.            </v>
          </cell>
          <cell r="E86" t="str">
            <v>CP1469</v>
          </cell>
          <cell r="F86" t="str">
            <v>7.2.6.</v>
          </cell>
          <cell r="G86" t="str">
            <v xml:space="preserve">Válvulas e aparelhos de ferro dúctil: Válvula de pé, com flanges, PN 10, DN 200  </v>
          </cell>
          <cell r="H86" t="str">
            <v xml:space="preserve">un    </v>
          </cell>
          <cell r="I86">
            <v>2</v>
          </cell>
          <cell r="J86">
            <v>1451.18</v>
          </cell>
          <cell r="K86">
            <v>1219.28</v>
          </cell>
          <cell r="L86">
            <v>2902.36</v>
          </cell>
        </row>
        <row r="87">
          <cell r="D87" t="str">
            <v xml:space="preserve">  A. 83.            </v>
          </cell>
          <cell r="E87" t="str">
            <v>CP1316</v>
          </cell>
          <cell r="F87" t="str">
            <v>7.3.</v>
          </cell>
          <cell r="G87" t="str">
            <v xml:space="preserve">Acessórios para juntas flangeadas de tubos, conexões e aparelhos em Ferro Fundido  </v>
          </cell>
          <cell r="H87" t="str">
            <v xml:space="preserve">un    </v>
          </cell>
          <cell r="I87">
            <v>1</v>
          </cell>
          <cell r="J87">
            <v>6085.81</v>
          </cell>
          <cell r="K87">
            <v>7965.01</v>
          </cell>
          <cell r="L87">
            <v>6085.81</v>
          </cell>
        </row>
        <row r="88">
          <cell r="D88" t="str">
            <v xml:space="preserve">  A. 84.            </v>
          </cell>
          <cell r="E88" t="str">
            <v xml:space="preserve">      </v>
          </cell>
          <cell r="F88" t="str">
            <v>8.</v>
          </cell>
          <cell r="G88" t="str">
            <v xml:space="preserve">Assentamento de Tubos, Peças, Conexões e Aparelhos Hidráulicos  </v>
          </cell>
          <cell r="H88" t="str">
            <v xml:space="preserve">      </v>
          </cell>
          <cell r="I88">
            <v>0</v>
          </cell>
          <cell r="J88">
            <v>0</v>
          </cell>
          <cell r="K88">
            <v>0</v>
          </cell>
          <cell r="L88">
            <v>0</v>
          </cell>
        </row>
        <row r="89">
          <cell r="D89" t="str">
            <v xml:space="preserve">  A. 85.            </v>
          </cell>
          <cell r="E89" t="str">
            <v xml:space="preserve">      </v>
          </cell>
          <cell r="F89" t="str">
            <v>8.1.</v>
          </cell>
          <cell r="G89" t="str">
            <v xml:space="preserve">Assentamento de Tubos e Conexões em Ferro Fundido  </v>
          </cell>
          <cell r="H89" t="str">
            <v xml:space="preserve">      </v>
          </cell>
          <cell r="I89">
            <v>0</v>
          </cell>
          <cell r="J89">
            <v>0</v>
          </cell>
          <cell r="K89">
            <v>0</v>
          </cell>
          <cell r="L89">
            <v>0</v>
          </cell>
        </row>
        <row r="90">
          <cell r="D90" t="str">
            <v xml:space="preserve">  A. 86.            </v>
          </cell>
          <cell r="E90" t="str">
            <v>CP1050</v>
          </cell>
          <cell r="F90" t="str">
            <v>8.1.1.</v>
          </cell>
          <cell r="G90" t="str">
            <v xml:space="preserve">Assentamento de Tubos e Conexões em Ferro Fundido DN 200  </v>
          </cell>
          <cell r="H90" t="str">
            <v xml:space="preserve">m     </v>
          </cell>
          <cell r="I90">
            <v>12</v>
          </cell>
          <cell r="J90">
            <v>10.91</v>
          </cell>
          <cell r="K90">
            <v>9.16</v>
          </cell>
          <cell r="L90">
            <v>130.91999999999999</v>
          </cell>
        </row>
        <row r="91">
          <cell r="D91" t="str">
            <v xml:space="preserve">  A. 87.            </v>
          </cell>
          <cell r="E91" t="str">
            <v>CP0148</v>
          </cell>
          <cell r="F91" t="str">
            <v>8.2.</v>
          </cell>
          <cell r="G91" t="str">
            <v xml:space="preserve">Montagem de peças, conexões, equipamentos e aparelhos hidráulicos em ferro fundido  </v>
          </cell>
          <cell r="H91" t="str">
            <v xml:space="preserve">kg    </v>
          </cell>
          <cell r="I91">
            <v>3443</v>
          </cell>
          <cell r="J91">
            <v>1.33</v>
          </cell>
          <cell r="K91">
            <v>1.1100000000000001</v>
          </cell>
          <cell r="L91">
            <v>4579.1899999999996</v>
          </cell>
        </row>
        <row r="92">
          <cell r="D92" t="str">
            <v xml:space="preserve">  A. 88.            </v>
          </cell>
          <cell r="E92" t="str">
            <v xml:space="preserve">      </v>
          </cell>
          <cell r="F92" t="str">
            <v>9.</v>
          </cell>
          <cell r="G92" t="str">
            <v xml:space="preserve">Instalações Hidráulico-Sanitárias  </v>
          </cell>
          <cell r="H92" t="str">
            <v xml:space="preserve">      </v>
          </cell>
          <cell r="I92">
            <v>0</v>
          </cell>
          <cell r="J92">
            <v>0</v>
          </cell>
          <cell r="K92">
            <v>0</v>
          </cell>
          <cell r="L92">
            <v>0</v>
          </cell>
        </row>
        <row r="93">
          <cell r="D93" t="str">
            <v xml:space="preserve">  A. 89.            </v>
          </cell>
          <cell r="E93" t="str">
            <v xml:space="preserve">      </v>
          </cell>
          <cell r="F93" t="str">
            <v>9.1.</v>
          </cell>
          <cell r="G93" t="str">
            <v xml:space="preserve">Fornecimento de Tubos, Peças, Conexões e Aparelhos Hidráulicos  </v>
          </cell>
          <cell r="H93" t="str">
            <v xml:space="preserve">      </v>
          </cell>
          <cell r="I93">
            <v>0</v>
          </cell>
          <cell r="J93">
            <v>0</v>
          </cell>
          <cell r="K93">
            <v>0</v>
          </cell>
          <cell r="L93">
            <v>0</v>
          </cell>
        </row>
        <row r="94">
          <cell r="D94" t="str">
            <v xml:space="preserve">  A. 90.            </v>
          </cell>
          <cell r="E94" t="str">
            <v xml:space="preserve">      </v>
          </cell>
          <cell r="F94" t="str">
            <v>9.1.1.</v>
          </cell>
          <cell r="G94" t="str">
            <v xml:space="preserve">PVC - ESGOTO  </v>
          </cell>
          <cell r="H94" t="str">
            <v xml:space="preserve">      </v>
          </cell>
          <cell r="I94">
            <v>0</v>
          </cell>
          <cell r="J94">
            <v>0</v>
          </cell>
          <cell r="K94">
            <v>0</v>
          </cell>
          <cell r="L94">
            <v>0</v>
          </cell>
        </row>
        <row r="95">
          <cell r="D95" t="str">
            <v xml:space="preserve">  A. 91.            </v>
          </cell>
          <cell r="E95" t="str">
            <v xml:space="preserve">      </v>
          </cell>
          <cell r="F95" t="str">
            <v>9.1.1.1.</v>
          </cell>
          <cell r="G95" t="str">
            <v xml:space="preserve">Tubo de PVC branco para esgoto:  </v>
          </cell>
          <cell r="H95" t="str">
            <v xml:space="preserve">      </v>
          </cell>
          <cell r="I95">
            <v>0</v>
          </cell>
          <cell r="J95">
            <v>0</v>
          </cell>
          <cell r="K95">
            <v>0</v>
          </cell>
          <cell r="L95">
            <v>0</v>
          </cell>
        </row>
        <row r="96">
          <cell r="D96" t="str">
            <v xml:space="preserve">  A. 92.            </v>
          </cell>
          <cell r="E96" t="str">
            <v>CP0665</v>
          </cell>
          <cell r="F96" t="str">
            <v>9.1.1.1.1</v>
          </cell>
          <cell r="G96" t="str">
            <v xml:space="preserve">Tubo de PVC branco para esgoto: DN 100  </v>
          </cell>
          <cell r="H96" t="str">
            <v xml:space="preserve">m     </v>
          </cell>
          <cell r="I96">
            <v>74</v>
          </cell>
          <cell r="J96">
            <v>7.77</v>
          </cell>
          <cell r="K96">
            <v>6.48</v>
          </cell>
          <cell r="L96">
            <v>574.98</v>
          </cell>
        </row>
        <row r="97">
          <cell r="D97" t="str">
            <v xml:space="preserve">  A. 93.            </v>
          </cell>
          <cell r="E97" t="str">
            <v xml:space="preserve">      </v>
          </cell>
          <cell r="F97" t="str">
            <v>9.1.1.2.</v>
          </cell>
          <cell r="G97" t="str">
            <v xml:space="preserve">Joelho PVC branco para esgoto  </v>
          </cell>
          <cell r="H97" t="str">
            <v xml:space="preserve">      </v>
          </cell>
          <cell r="I97">
            <v>0</v>
          </cell>
          <cell r="J97">
            <v>0</v>
          </cell>
          <cell r="K97">
            <v>0</v>
          </cell>
          <cell r="L97">
            <v>0</v>
          </cell>
        </row>
        <row r="98">
          <cell r="D98" t="str">
            <v xml:space="preserve">  A. 94.            </v>
          </cell>
          <cell r="E98" t="str">
            <v>CP0648</v>
          </cell>
          <cell r="F98" t="str">
            <v>9.1.1.2.1</v>
          </cell>
          <cell r="G98" t="str">
            <v xml:space="preserve">Joelho PVC branco para esgoto DN 100  </v>
          </cell>
          <cell r="H98" t="str">
            <v xml:space="preserve">pç    </v>
          </cell>
          <cell r="I98">
            <v>2</v>
          </cell>
          <cell r="J98">
            <v>4.3499999999999996</v>
          </cell>
          <cell r="K98">
            <v>3.64</v>
          </cell>
          <cell r="L98">
            <v>8.6999999999999993</v>
          </cell>
        </row>
        <row r="99">
          <cell r="D99" t="str">
            <v xml:space="preserve">  A. 95.            </v>
          </cell>
          <cell r="E99" t="str">
            <v xml:space="preserve">      </v>
          </cell>
          <cell r="F99" t="str">
            <v>9.1.1.3.</v>
          </cell>
          <cell r="G99" t="str">
            <v xml:space="preserve">PVC - ESGOTO Joelho 45o  </v>
          </cell>
          <cell r="H99" t="str">
            <v xml:space="preserve">      </v>
          </cell>
          <cell r="I99">
            <v>0</v>
          </cell>
          <cell r="J99">
            <v>0</v>
          </cell>
          <cell r="K99">
            <v>0</v>
          </cell>
          <cell r="L99">
            <v>0</v>
          </cell>
        </row>
        <row r="100">
          <cell r="D100" t="str">
            <v xml:space="preserve">  A. 96.            </v>
          </cell>
          <cell r="E100" t="str">
            <v>CP2214</v>
          </cell>
          <cell r="F100" t="str">
            <v>9.1.1.3.1</v>
          </cell>
          <cell r="G100" t="str">
            <v xml:space="preserve">PVC - ESGOTO Joelho 45o DN 100  </v>
          </cell>
          <cell r="H100" t="str">
            <v xml:space="preserve">pç    </v>
          </cell>
          <cell r="I100">
            <v>2</v>
          </cell>
          <cell r="J100">
            <v>4.83</v>
          </cell>
          <cell r="K100">
            <v>5.83</v>
          </cell>
          <cell r="L100">
            <v>9.66</v>
          </cell>
        </row>
        <row r="101">
          <cell r="D101" t="str">
            <v xml:space="preserve">  A. 97.            </v>
          </cell>
          <cell r="E101" t="str">
            <v xml:space="preserve">      </v>
          </cell>
          <cell r="F101" t="str">
            <v>9.1.1.7.</v>
          </cell>
          <cell r="G101" t="str">
            <v xml:space="preserve">PVC - ESGOTO Tê sanitário:  </v>
          </cell>
          <cell r="H101" t="str">
            <v xml:space="preserve">      </v>
          </cell>
          <cell r="I101">
            <v>0</v>
          </cell>
          <cell r="J101">
            <v>0</v>
          </cell>
          <cell r="K101">
            <v>0</v>
          </cell>
          <cell r="L101">
            <v>0</v>
          </cell>
        </row>
        <row r="102">
          <cell r="D102" t="str">
            <v xml:space="preserve">  A. 98.            </v>
          </cell>
          <cell r="E102" t="str">
            <v>CP2130</v>
          </cell>
          <cell r="F102" t="str">
            <v>9.1.1.7.1</v>
          </cell>
          <cell r="G102" t="str">
            <v xml:space="preserve">PVC - ESGOTO Tê sanitário: DN 100 x 100  </v>
          </cell>
          <cell r="H102" t="str">
            <v xml:space="preserve">pç    </v>
          </cell>
          <cell r="I102">
            <v>4</v>
          </cell>
          <cell r="J102">
            <v>9.24</v>
          </cell>
          <cell r="K102">
            <v>11.15</v>
          </cell>
          <cell r="L102">
            <v>36.96</v>
          </cell>
        </row>
        <row r="103">
          <cell r="D103" t="str">
            <v xml:space="preserve">  A. 99.            </v>
          </cell>
          <cell r="E103" t="str">
            <v xml:space="preserve">      </v>
          </cell>
          <cell r="F103" t="str">
            <v>9.1.2.</v>
          </cell>
          <cell r="G103" t="str">
            <v xml:space="preserve">PVC ÁGUA FRIA  </v>
          </cell>
          <cell r="H103" t="str">
            <v xml:space="preserve">      </v>
          </cell>
          <cell r="I103">
            <v>0</v>
          </cell>
          <cell r="J103">
            <v>0</v>
          </cell>
          <cell r="K103">
            <v>0</v>
          </cell>
          <cell r="L103">
            <v>0</v>
          </cell>
        </row>
        <row r="104">
          <cell r="D104" t="str">
            <v xml:space="preserve">  A.100.            </v>
          </cell>
          <cell r="E104" t="str">
            <v xml:space="preserve">      </v>
          </cell>
          <cell r="F104" t="str">
            <v>9.1.2.1.</v>
          </cell>
          <cell r="G104" t="str">
            <v xml:space="preserve">Tubo de PVC soldável:  </v>
          </cell>
          <cell r="H104" t="str">
            <v xml:space="preserve">      </v>
          </cell>
          <cell r="I104">
            <v>0</v>
          </cell>
          <cell r="J104">
            <v>0</v>
          </cell>
          <cell r="K104">
            <v>0</v>
          </cell>
          <cell r="L104">
            <v>0</v>
          </cell>
        </row>
        <row r="105">
          <cell r="D105" t="str">
            <v xml:space="preserve">  A.101.            </v>
          </cell>
          <cell r="E105" t="str">
            <v>CP0896</v>
          </cell>
          <cell r="F105" t="str">
            <v>9.1.2.1.1</v>
          </cell>
          <cell r="G105" t="str">
            <v xml:space="preserve">Tubo de PVC soldável: DN 25  </v>
          </cell>
          <cell r="H105" t="str">
            <v xml:space="preserve">m     </v>
          </cell>
          <cell r="I105">
            <v>18</v>
          </cell>
          <cell r="J105">
            <v>1.71</v>
          </cell>
          <cell r="K105">
            <v>1.43</v>
          </cell>
          <cell r="L105">
            <v>30.78</v>
          </cell>
        </row>
        <row r="106">
          <cell r="D106" t="str">
            <v xml:space="preserve">  A.102.            </v>
          </cell>
          <cell r="E106" t="str">
            <v xml:space="preserve">      </v>
          </cell>
          <cell r="F106" t="str">
            <v>9.1.2.2.</v>
          </cell>
          <cell r="G106" t="str">
            <v xml:space="preserve">Adaptador soldável curto, com bolsa e rosca para registro:  </v>
          </cell>
          <cell r="H106" t="str">
            <v xml:space="preserve">      </v>
          </cell>
          <cell r="I106">
            <v>0</v>
          </cell>
          <cell r="J106">
            <v>0</v>
          </cell>
          <cell r="K106">
            <v>0</v>
          </cell>
          <cell r="L106">
            <v>0</v>
          </cell>
        </row>
        <row r="107">
          <cell r="D107" t="str">
            <v xml:space="preserve">  A.103.            </v>
          </cell>
          <cell r="E107" t="str">
            <v>CP0868</v>
          </cell>
          <cell r="F107" t="str">
            <v>9.1.2.2.1</v>
          </cell>
          <cell r="G107" t="str">
            <v xml:space="preserve">Adaptador soldável curto, com bolsa e rosca para registro: DN 25 x 3/4  </v>
          </cell>
          <cell r="H107" t="str">
            <v xml:space="preserve">pç    </v>
          </cell>
          <cell r="I107">
            <v>1</v>
          </cell>
          <cell r="J107">
            <v>0.13</v>
          </cell>
          <cell r="K107">
            <v>0.11</v>
          </cell>
          <cell r="L107">
            <v>0.13</v>
          </cell>
        </row>
        <row r="108">
          <cell r="D108" t="str">
            <v xml:space="preserve">  A.104.            </v>
          </cell>
          <cell r="E108" t="str">
            <v xml:space="preserve">      </v>
          </cell>
          <cell r="F108" t="str">
            <v>9.1.2.3.</v>
          </cell>
          <cell r="G108" t="str">
            <v xml:space="preserve">Joelho 90o soldável:  </v>
          </cell>
          <cell r="H108" t="str">
            <v xml:space="preserve">      </v>
          </cell>
          <cell r="I108">
            <v>0</v>
          </cell>
          <cell r="J108">
            <v>0</v>
          </cell>
          <cell r="K108">
            <v>0</v>
          </cell>
          <cell r="L108">
            <v>0</v>
          </cell>
        </row>
        <row r="109">
          <cell r="D109" t="str">
            <v xml:space="preserve">  A.105.            </v>
          </cell>
          <cell r="E109" t="str">
            <v>CP0844</v>
          </cell>
          <cell r="F109" t="str">
            <v>9.1.2.3.1</v>
          </cell>
          <cell r="G109" t="str">
            <v xml:space="preserve">PVC ÁGUA FRIA Joelho 90o soldável: DN 25  </v>
          </cell>
          <cell r="H109" t="str">
            <v xml:space="preserve">pç    </v>
          </cell>
          <cell r="I109">
            <v>3</v>
          </cell>
          <cell r="J109">
            <v>0.28000000000000003</v>
          </cell>
          <cell r="K109">
            <v>0.35</v>
          </cell>
          <cell r="L109">
            <v>0.84</v>
          </cell>
        </row>
        <row r="110">
          <cell r="D110" t="str">
            <v xml:space="preserve">  A.106.            </v>
          </cell>
          <cell r="E110" t="str">
            <v xml:space="preserve">      </v>
          </cell>
          <cell r="F110" t="str">
            <v>9.1.2.4.</v>
          </cell>
          <cell r="G110" t="str">
            <v xml:space="preserve">PVC ÁGUA FRIA Joelho 90o soldável com bucha de latão:  </v>
          </cell>
          <cell r="H110" t="str">
            <v xml:space="preserve">      </v>
          </cell>
          <cell r="I110">
            <v>0</v>
          </cell>
          <cell r="J110">
            <v>0</v>
          </cell>
          <cell r="K110">
            <v>0</v>
          </cell>
          <cell r="L110">
            <v>0</v>
          </cell>
        </row>
        <row r="111">
          <cell r="D111" t="str">
            <v xml:space="preserve">  A.107.            </v>
          </cell>
          <cell r="E111" t="str">
            <v>CP2221</v>
          </cell>
          <cell r="F111" t="str">
            <v>9.1.2.4.1</v>
          </cell>
          <cell r="G111" t="str">
            <v xml:space="preserve">PVC ÁGUA FRIA Joelho 90o soldável com bucha de latão: DN 20 x 1/2  </v>
          </cell>
          <cell r="H111" t="str">
            <v xml:space="preserve">pç    </v>
          </cell>
          <cell r="I111">
            <v>1</v>
          </cell>
          <cell r="J111">
            <v>3.22</v>
          </cell>
          <cell r="K111">
            <v>4.0999999999999996</v>
          </cell>
          <cell r="L111">
            <v>3.22</v>
          </cell>
        </row>
        <row r="112">
          <cell r="D112" t="str">
            <v xml:space="preserve">  A.108.            </v>
          </cell>
          <cell r="E112" t="str">
            <v xml:space="preserve">      </v>
          </cell>
          <cell r="F112" t="str">
            <v>9.1.3.</v>
          </cell>
          <cell r="G112" t="str">
            <v xml:space="preserve">PVC ROSCÁVEL  </v>
          </cell>
          <cell r="H112" t="str">
            <v xml:space="preserve">      </v>
          </cell>
          <cell r="I112">
            <v>0</v>
          </cell>
          <cell r="J112">
            <v>0</v>
          </cell>
          <cell r="K112">
            <v>0</v>
          </cell>
          <cell r="L112">
            <v>0</v>
          </cell>
        </row>
        <row r="113">
          <cell r="D113" t="str">
            <v xml:space="preserve">  A.109.            </v>
          </cell>
          <cell r="E113" t="str">
            <v xml:space="preserve">      </v>
          </cell>
          <cell r="F113" t="str">
            <v>9.1.3.1.</v>
          </cell>
          <cell r="G113" t="str">
            <v xml:space="preserve">PVC ROSCÁVEL Bucha de redução com rosca:  </v>
          </cell>
          <cell r="H113" t="str">
            <v xml:space="preserve">      </v>
          </cell>
          <cell r="I113">
            <v>0</v>
          </cell>
          <cell r="J113">
            <v>0</v>
          </cell>
          <cell r="K113">
            <v>0</v>
          </cell>
          <cell r="L113">
            <v>0</v>
          </cell>
        </row>
        <row r="114">
          <cell r="D114" t="str">
            <v xml:space="preserve">  A.110.            </v>
          </cell>
          <cell r="E114" t="str">
            <v>CP0915</v>
          </cell>
          <cell r="F114" t="str">
            <v>9.1.3.1.1</v>
          </cell>
          <cell r="G114" t="str">
            <v xml:space="preserve">PVC ROSCÁVEL Bucha de redução com rosca: ø 3/4 x 1/2  </v>
          </cell>
          <cell r="H114" t="str">
            <v xml:space="preserve">pç    </v>
          </cell>
          <cell r="I114">
            <v>2</v>
          </cell>
          <cell r="J114">
            <v>0.38</v>
          </cell>
          <cell r="K114">
            <v>0.32</v>
          </cell>
          <cell r="L114">
            <v>0.76</v>
          </cell>
        </row>
        <row r="115">
          <cell r="D115" t="str">
            <v xml:space="preserve">  A.111.            </v>
          </cell>
          <cell r="E115" t="str">
            <v xml:space="preserve">      </v>
          </cell>
          <cell r="F115" t="str">
            <v>9.1.3.2.</v>
          </cell>
          <cell r="G115" t="str">
            <v xml:space="preserve">PVC ROSCÁVEL Niple com rosca:  </v>
          </cell>
          <cell r="H115" t="str">
            <v xml:space="preserve">      </v>
          </cell>
          <cell r="I115">
            <v>0</v>
          </cell>
          <cell r="J115">
            <v>0</v>
          </cell>
          <cell r="K115">
            <v>0</v>
          </cell>
          <cell r="L115">
            <v>0</v>
          </cell>
        </row>
        <row r="116">
          <cell r="D116" t="str">
            <v xml:space="preserve">  A.112.            </v>
          </cell>
          <cell r="E116" t="str">
            <v>CP2328</v>
          </cell>
          <cell r="F116" t="str">
            <v>9.1.3.2.1</v>
          </cell>
          <cell r="G116" t="str">
            <v xml:space="preserve">PVC ROSCÁVEL Niple com rosca: ø 3/4  </v>
          </cell>
          <cell r="H116" t="str">
            <v xml:space="preserve">pç    </v>
          </cell>
          <cell r="I116">
            <v>2</v>
          </cell>
          <cell r="J116">
            <v>0.52</v>
          </cell>
          <cell r="K116">
            <v>0.44</v>
          </cell>
          <cell r="L116">
            <v>1.04</v>
          </cell>
        </row>
        <row r="117">
          <cell r="D117" t="str">
            <v xml:space="preserve">  A.113.            </v>
          </cell>
          <cell r="E117" t="str">
            <v xml:space="preserve">      </v>
          </cell>
          <cell r="F117" t="str">
            <v>9.1.3.3.</v>
          </cell>
          <cell r="G117" t="str">
            <v xml:space="preserve">PVC ROSCÁVEL União com rosca:  </v>
          </cell>
          <cell r="H117" t="str">
            <v xml:space="preserve">      </v>
          </cell>
          <cell r="I117">
            <v>0</v>
          </cell>
          <cell r="J117">
            <v>0</v>
          </cell>
          <cell r="K117">
            <v>0</v>
          </cell>
          <cell r="L117">
            <v>0</v>
          </cell>
        </row>
        <row r="118">
          <cell r="D118" t="str">
            <v xml:space="preserve">  A.114.            </v>
          </cell>
          <cell r="E118" t="str">
            <v>CP0910</v>
          </cell>
          <cell r="F118" t="str">
            <v>9.1.3.3.1</v>
          </cell>
          <cell r="G118" t="str">
            <v xml:space="preserve">PVC ROSCÁVEL União com rosca: ø 3/4  </v>
          </cell>
          <cell r="H118" t="str">
            <v xml:space="preserve">pç    </v>
          </cell>
          <cell r="I118">
            <v>4</v>
          </cell>
          <cell r="J118">
            <v>3.36</v>
          </cell>
          <cell r="K118">
            <v>2.8</v>
          </cell>
          <cell r="L118">
            <v>13.44</v>
          </cell>
        </row>
        <row r="119">
          <cell r="D119" t="str">
            <v xml:space="preserve">  A.115.            </v>
          </cell>
          <cell r="E119" t="str">
            <v xml:space="preserve">      </v>
          </cell>
          <cell r="F119" t="str">
            <v>9.1.4.</v>
          </cell>
          <cell r="G119" t="str">
            <v xml:space="preserve">DIVERSOS  </v>
          </cell>
          <cell r="H119" t="str">
            <v xml:space="preserve">      </v>
          </cell>
          <cell r="I119">
            <v>0</v>
          </cell>
          <cell r="J119">
            <v>0</v>
          </cell>
          <cell r="K119">
            <v>0</v>
          </cell>
          <cell r="L119">
            <v>0</v>
          </cell>
        </row>
        <row r="120">
          <cell r="D120" t="str">
            <v xml:space="preserve">  A.116.            </v>
          </cell>
          <cell r="E120" t="str">
            <v xml:space="preserve">      </v>
          </cell>
          <cell r="F120" t="str">
            <v>9.1.4.1.</v>
          </cell>
          <cell r="G120" t="str">
            <v xml:space="preserve">Torneira:  </v>
          </cell>
          <cell r="H120" t="str">
            <v xml:space="preserve">      </v>
          </cell>
          <cell r="I120">
            <v>0</v>
          </cell>
          <cell r="J120">
            <v>0</v>
          </cell>
          <cell r="K120">
            <v>0</v>
          </cell>
          <cell r="L120">
            <v>0</v>
          </cell>
        </row>
        <row r="121">
          <cell r="D121" t="str">
            <v xml:space="preserve">  A.117.            </v>
          </cell>
          <cell r="E121" t="str">
            <v>CP1675</v>
          </cell>
          <cell r="F121" t="str">
            <v>9.1.4.1.1</v>
          </cell>
          <cell r="G121" t="str">
            <v xml:space="preserve">Torneira: para pia com adaptador para mangueira DN 1/2  </v>
          </cell>
          <cell r="H121" t="str">
            <v xml:space="preserve">un    </v>
          </cell>
          <cell r="I121">
            <v>1</v>
          </cell>
          <cell r="J121">
            <v>30.97</v>
          </cell>
          <cell r="K121">
            <v>25.96</v>
          </cell>
          <cell r="L121">
            <v>30.97</v>
          </cell>
        </row>
        <row r="122">
          <cell r="D122" t="str">
            <v xml:space="preserve">  A.118.            </v>
          </cell>
          <cell r="E122" t="str">
            <v xml:space="preserve">      </v>
          </cell>
          <cell r="F122" t="str">
            <v>9.1.4.2.</v>
          </cell>
          <cell r="G122" t="str">
            <v xml:space="preserve">Registro de gaveta, em bronze, acabamento bruto:  </v>
          </cell>
          <cell r="H122" t="str">
            <v xml:space="preserve">      </v>
          </cell>
          <cell r="I122">
            <v>0</v>
          </cell>
          <cell r="J122">
            <v>0</v>
          </cell>
          <cell r="K122">
            <v>0</v>
          </cell>
          <cell r="L122">
            <v>0</v>
          </cell>
        </row>
        <row r="123">
          <cell r="D123" t="str">
            <v xml:space="preserve">  A.119.            </v>
          </cell>
          <cell r="E123" t="str">
            <v>CP0932</v>
          </cell>
          <cell r="F123" t="str">
            <v>9.1.4.2.1</v>
          </cell>
          <cell r="G123" t="str">
            <v xml:space="preserve">Registro de gaveta, em bronze, acabamento bruto: DN 3/4  </v>
          </cell>
          <cell r="H123" t="str">
            <v xml:space="preserve">un    </v>
          </cell>
          <cell r="I123">
            <v>1</v>
          </cell>
          <cell r="J123">
            <v>8.4</v>
          </cell>
          <cell r="K123">
            <v>7.04</v>
          </cell>
          <cell r="L123">
            <v>8.4</v>
          </cell>
        </row>
        <row r="124">
          <cell r="D124" t="str">
            <v xml:space="preserve">  A.120.            </v>
          </cell>
          <cell r="E124" t="str">
            <v xml:space="preserve">      </v>
          </cell>
          <cell r="F124" t="str">
            <v>9.1.4.3.</v>
          </cell>
          <cell r="G124" t="str">
            <v xml:space="preserve">Válvula de retenção:  </v>
          </cell>
          <cell r="H124" t="str">
            <v xml:space="preserve">      </v>
          </cell>
          <cell r="I124">
            <v>0</v>
          </cell>
          <cell r="J124">
            <v>0</v>
          </cell>
          <cell r="K124">
            <v>0</v>
          </cell>
          <cell r="L124">
            <v>0</v>
          </cell>
        </row>
        <row r="125">
          <cell r="D125" t="str">
            <v xml:space="preserve">  A.121.            </v>
          </cell>
          <cell r="E125" t="str">
            <v>CP1879</v>
          </cell>
          <cell r="F125" t="str">
            <v>9.1.4.3.1</v>
          </cell>
          <cell r="G125" t="str">
            <v xml:space="preserve">Válvula de retenção: DN 3/4  </v>
          </cell>
          <cell r="H125" t="str">
            <v xml:space="preserve">un    </v>
          </cell>
          <cell r="I125">
            <v>1</v>
          </cell>
          <cell r="J125">
            <v>52.18</v>
          </cell>
          <cell r="K125">
            <v>43.82</v>
          </cell>
          <cell r="L125">
            <v>52.18</v>
          </cell>
        </row>
        <row r="126">
          <cell r="D126" t="str">
            <v xml:space="preserve">  A.122.            </v>
          </cell>
          <cell r="E126" t="str">
            <v xml:space="preserve">      </v>
          </cell>
          <cell r="F126" t="str">
            <v>9.2.</v>
          </cell>
          <cell r="G126" t="str">
            <v xml:space="preserve">Assentamento de Tubos, Peças, Conexões e Aparelhos Hidráulicos  </v>
          </cell>
          <cell r="H126" t="str">
            <v xml:space="preserve">      </v>
          </cell>
          <cell r="I126">
            <v>0</v>
          </cell>
          <cell r="J126">
            <v>0</v>
          </cell>
          <cell r="K126">
            <v>0</v>
          </cell>
          <cell r="L126">
            <v>0</v>
          </cell>
        </row>
        <row r="127">
          <cell r="D127" t="str">
            <v xml:space="preserve">  A.123.            </v>
          </cell>
          <cell r="E127" t="str">
            <v xml:space="preserve">      </v>
          </cell>
          <cell r="F127" t="str">
            <v>9.2.1.</v>
          </cell>
          <cell r="G127" t="str">
            <v xml:space="preserve">PVC - ESGOTO  </v>
          </cell>
          <cell r="H127" t="str">
            <v xml:space="preserve">      </v>
          </cell>
          <cell r="I127">
            <v>0</v>
          </cell>
          <cell r="J127">
            <v>0</v>
          </cell>
          <cell r="K127">
            <v>0</v>
          </cell>
          <cell r="L127">
            <v>0</v>
          </cell>
        </row>
        <row r="128">
          <cell r="D128" t="str">
            <v xml:space="preserve">  A.124.            </v>
          </cell>
          <cell r="E128" t="str">
            <v xml:space="preserve">      </v>
          </cell>
          <cell r="F128" t="str">
            <v>9.2.1.1.</v>
          </cell>
          <cell r="G128" t="str">
            <v xml:space="preserve">Tubo e conexões de PVC tipo esgoto:  </v>
          </cell>
          <cell r="H128" t="str">
            <v xml:space="preserve">      </v>
          </cell>
          <cell r="I128">
            <v>0</v>
          </cell>
          <cell r="J128">
            <v>0</v>
          </cell>
          <cell r="K128">
            <v>0</v>
          </cell>
          <cell r="L128">
            <v>0</v>
          </cell>
        </row>
        <row r="129">
          <cell r="D129" t="str">
            <v xml:space="preserve">  A.125.            </v>
          </cell>
          <cell r="E129" t="str">
            <v>CP4605</v>
          </cell>
          <cell r="F129" t="str">
            <v>9.2.1.1.1</v>
          </cell>
          <cell r="G129" t="str">
            <v xml:space="preserve">Tubo e conexões de PVC tipo esgoto: DN 100  </v>
          </cell>
          <cell r="H129" t="str">
            <v xml:space="preserve">m     </v>
          </cell>
          <cell r="I129">
            <v>74</v>
          </cell>
          <cell r="J129">
            <v>0.96</v>
          </cell>
          <cell r="K129">
            <v>0.81</v>
          </cell>
          <cell r="L129">
            <v>71.040000000000006</v>
          </cell>
        </row>
        <row r="130">
          <cell r="D130" t="str">
            <v xml:space="preserve">  A.126.            </v>
          </cell>
          <cell r="E130" t="str">
            <v xml:space="preserve">      </v>
          </cell>
          <cell r="F130" t="str">
            <v>9.2.1.2.</v>
          </cell>
          <cell r="G130" t="str">
            <v xml:space="preserve">Tubos e Conexões de PVC soldável:  </v>
          </cell>
          <cell r="H130" t="str">
            <v xml:space="preserve">      </v>
          </cell>
          <cell r="I130">
            <v>0</v>
          </cell>
          <cell r="J130">
            <v>0</v>
          </cell>
          <cell r="K130">
            <v>0</v>
          </cell>
          <cell r="L130">
            <v>0</v>
          </cell>
        </row>
        <row r="131">
          <cell r="D131" t="str">
            <v xml:space="preserve">  A.127.            </v>
          </cell>
          <cell r="E131" t="str">
            <v>CP0575</v>
          </cell>
          <cell r="F131" t="str">
            <v>9.2.1.2.1</v>
          </cell>
          <cell r="G131" t="str">
            <v xml:space="preserve">Tubos e Conexões de PVC soldável: DN 25  </v>
          </cell>
          <cell r="H131" t="str">
            <v xml:space="preserve">m     </v>
          </cell>
          <cell r="I131">
            <v>18</v>
          </cell>
          <cell r="J131">
            <v>5.82</v>
          </cell>
          <cell r="K131">
            <v>6.85</v>
          </cell>
          <cell r="L131">
            <v>104.76</v>
          </cell>
        </row>
        <row r="132">
          <cell r="D132" t="str">
            <v xml:space="preserve">  A.128.            </v>
          </cell>
          <cell r="E132" t="str">
            <v xml:space="preserve">      </v>
          </cell>
          <cell r="F132" t="str">
            <v>9.2.2.</v>
          </cell>
          <cell r="G132" t="str">
            <v xml:space="preserve">Aparelhos Hidráulicos  </v>
          </cell>
          <cell r="H132" t="str">
            <v xml:space="preserve">      </v>
          </cell>
          <cell r="I132">
            <v>0</v>
          </cell>
          <cell r="J132">
            <v>0</v>
          </cell>
          <cell r="K132">
            <v>0</v>
          </cell>
          <cell r="L132">
            <v>0</v>
          </cell>
        </row>
        <row r="133">
          <cell r="D133" t="str">
            <v xml:space="preserve">  A.129.            </v>
          </cell>
          <cell r="E133" t="str">
            <v xml:space="preserve">      </v>
          </cell>
          <cell r="F133" t="str">
            <v>9.2.2.1.</v>
          </cell>
          <cell r="G133" t="str">
            <v xml:space="preserve">Conjunto de metais  </v>
          </cell>
          <cell r="H133" t="str">
            <v xml:space="preserve">      </v>
          </cell>
          <cell r="I133">
            <v>0</v>
          </cell>
          <cell r="J133">
            <v>0</v>
          </cell>
          <cell r="K133">
            <v>0</v>
          </cell>
          <cell r="L133">
            <v>0</v>
          </cell>
        </row>
        <row r="134">
          <cell r="D134" t="str">
            <v xml:space="preserve">  A.130.            </v>
          </cell>
          <cell r="E134" t="str">
            <v>CP0528</v>
          </cell>
          <cell r="F134" t="str">
            <v>9.2.2.1.1</v>
          </cell>
          <cell r="G134" t="str">
            <v xml:space="preserve">Conjunto de metais Para pia  </v>
          </cell>
          <cell r="H134" t="str">
            <v xml:space="preserve">un    </v>
          </cell>
          <cell r="I134">
            <v>1</v>
          </cell>
          <cell r="J134">
            <v>28.37</v>
          </cell>
          <cell r="K134">
            <v>23.99</v>
          </cell>
          <cell r="L134">
            <v>28.37</v>
          </cell>
        </row>
        <row r="135">
          <cell r="D135" t="str">
            <v xml:space="preserve">  A.131.            </v>
          </cell>
          <cell r="E135" t="str">
            <v xml:space="preserve">      </v>
          </cell>
          <cell r="F135" t="str">
            <v>9.2.2.2.</v>
          </cell>
          <cell r="G135" t="str">
            <v xml:space="preserve">Registro de gaveta:  </v>
          </cell>
          <cell r="H135" t="str">
            <v xml:space="preserve">      </v>
          </cell>
          <cell r="I135">
            <v>0</v>
          </cell>
          <cell r="J135">
            <v>0</v>
          </cell>
          <cell r="K135">
            <v>0</v>
          </cell>
          <cell r="L135">
            <v>0</v>
          </cell>
        </row>
        <row r="136">
          <cell r="D136" t="str">
            <v xml:space="preserve">  A.132.            </v>
          </cell>
          <cell r="E136" t="str">
            <v>CP0457</v>
          </cell>
          <cell r="F136" t="str">
            <v>9.2.2.2.1</v>
          </cell>
          <cell r="G136" t="str">
            <v xml:space="preserve">Registro de gaveta: DN 3/4  </v>
          </cell>
          <cell r="H136" t="str">
            <v xml:space="preserve">un    </v>
          </cell>
          <cell r="I136">
            <v>1</v>
          </cell>
          <cell r="J136">
            <v>9.33</v>
          </cell>
          <cell r="K136">
            <v>12.26</v>
          </cell>
          <cell r="L136">
            <v>9.33</v>
          </cell>
        </row>
        <row r="137">
          <cell r="D137" t="str">
            <v xml:space="preserve">  B.  1.            </v>
          </cell>
          <cell r="E137" t="str">
            <v xml:space="preserve">      </v>
          </cell>
          <cell r="F137" t="str">
            <v>0.II.</v>
          </cell>
          <cell r="G137" t="str">
            <v xml:space="preserve">CANAL PARSHALL, FLOCULADORES E FLOTADORES  </v>
          </cell>
          <cell r="H137" t="str">
            <v xml:space="preserve">      </v>
          </cell>
          <cell r="I137">
            <v>0</v>
          </cell>
          <cell r="J137">
            <v>0</v>
          </cell>
          <cell r="K137">
            <v>0</v>
          </cell>
          <cell r="L137">
            <v>0</v>
          </cell>
        </row>
        <row r="138">
          <cell r="D138" t="str">
            <v xml:space="preserve">  B.  2.            </v>
          </cell>
          <cell r="E138" t="str">
            <v xml:space="preserve">      </v>
          </cell>
          <cell r="F138" t="str">
            <v>1.</v>
          </cell>
          <cell r="G138" t="str">
            <v xml:space="preserve">Serviços Preliminares  </v>
          </cell>
          <cell r="H138" t="str">
            <v xml:space="preserve">      </v>
          </cell>
          <cell r="I138">
            <v>0</v>
          </cell>
          <cell r="J138">
            <v>0</v>
          </cell>
          <cell r="K138">
            <v>0</v>
          </cell>
          <cell r="L138">
            <v>0</v>
          </cell>
        </row>
        <row r="139">
          <cell r="D139" t="str">
            <v xml:space="preserve">  B.  3.            </v>
          </cell>
          <cell r="E139" t="str">
            <v>CP1163</v>
          </cell>
          <cell r="F139" t="str">
            <v>1.1.</v>
          </cell>
          <cell r="G139" t="str">
            <v xml:space="preserve">Locacão da obra de edificação com execução de gabarito  </v>
          </cell>
          <cell r="H139" t="str">
            <v xml:space="preserve">m2    </v>
          </cell>
          <cell r="I139">
            <v>2213</v>
          </cell>
          <cell r="J139">
            <v>4.3099999999999996</v>
          </cell>
          <cell r="K139">
            <v>3.61</v>
          </cell>
          <cell r="L139">
            <v>9538.0300000000007</v>
          </cell>
        </row>
        <row r="140">
          <cell r="D140" t="str">
            <v xml:space="preserve">  B.  4.            </v>
          </cell>
          <cell r="E140" t="str">
            <v>CP1152</v>
          </cell>
          <cell r="F140" t="str">
            <v>1.2.</v>
          </cell>
          <cell r="G140" t="str">
            <v xml:space="preserve">Limpeza mecânica do terreno  </v>
          </cell>
          <cell r="H140" t="str">
            <v xml:space="preserve">m2    </v>
          </cell>
          <cell r="I140">
            <v>2213</v>
          </cell>
          <cell r="J140">
            <v>0.55000000000000004</v>
          </cell>
          <cell r="K140">
            <v>0.46</v>
          </cell>
          <cell r="L140">
            <v>1217.1500000000001</v>
          </cell>
        </row>
        <row r="141">
          <cell r="D141" t="str">
            <v xml:space="preserve">  B.  5.            </v>
          </cell>
          <cell r="E141" t="str">
            <v xml:space="preserve">      </v>
          </cell>
          <cell r="F141" t="str">
            <v>2.</v>
          </cell>
          <cell r="G141" t="str">
            <v xml:space="preserve">Movimento de Terra  </v>
          </cell>
          <cell r="H141" t="str">
            <v xml:space="preserve">      </v>
          </cell>
          <cell r="I141">
            <v>0</v>
          </cell>
          <cell r="J141">
            <v>0</v>
          </cell>
          <cell r="K141">
            <v>0</v>
          </cell>
          <cell r="L141">
            <v>0</v>
          </cell>
        </row>
        <row r="142">
          <cell r="D142" t="str">
            <v xml:space="preserve">  B.  6.            </v>
          </cell>
          <cell r="E142" t="str">
            <v>CP1141</v>
          </cell>
          <cell r="F142" t="str">
            <v>2.1.</v>
          </cell>
          <cell r="G142" t="str">
            <v xml:space="preserve">Escavação mecânica em áreas solo de qualquer natureza exceto rocha, inclusive carga e descarga  </v>
          </cell>
          <cell r="H142" t="str">
            <v xml:space="preserve">m³    </v>
          </cell>
          <cell r="I142">
            <v>6000</v>
          </cell>
          <cell r="J142">
            <v>3.89</v>
          </cell>
          <cell r="K142">
            <v>5.55</v>
          </cell>
          <cell r="L142">
            <v>23340</v>
          </cell>
        </row>
        <row r="143">
          <cell r="D143" t="str">
            <v xml:space="preserve">  B.  7.            </v>
          </cell>
          <cell r="E143" t="str">
            <v>CP1109</v>
          </cell>
          <cell r="F143" t="str">
            <v>2.2.</v>
          </cell>
          <cell r="G143" t="str">
            <v xml:space="preserve">Extração de rocha a frio, em valas  </v>
          </cell>
          <cell r="H143" t="str">
            <v xml:space="preserve">m³    </v>
          </cell>
          <cell r="I143">
            <v>150</v>
          </cell>
          <cell r="J143">
            <v>302.83999999999997</v>
          </cell>
          <cell r="K143">
            <v>432.63</v>
          </cell>
          <cell r="L143">
            <v>45426</v>
          </cell>
        </row>
        <row r="144">
          <cell r="D144" t="str">
            <v xml:space="preserve">  B.  8.            </v>
          </cell>
          <cell r="E144" t="str">
            <v>CP1131</v>
          </cell>
          <cell r="F144" t="str">
            <v>2.3.</v>
          </cell>
          <cell r="G144" t="str">
            <v xml:space="preserve">Escavação manual material de 1ª categoria prof. até 1,50m  </v>
          </cell>
          <cell r="H144" t="str">
            <v xml:space="preserve">m³    </v>
          </cell>
          <cell r="I144">
            <v>542</v>
          </cell>
          <cell r="J144">
            <v>20.89</v>
          </cell>
          <cell r="K144">
            <v>19.02</v>
          </cell>
          <cell r="L144">
            <v>11322.38</v>
          </cell>
        </row>
        <row r="145">
          <cell r="D145" t="str">
            <v xml:space="preserve">  B.  9.            </v>
          </cell>
          <cell r="E145" t="str">
            <v>CP1122</v>
          </cell>
          <cell r="F145" t="str">
            <v>2.4.</v>
          </cell>
          <cell r="G145" t="str">
            <v xml:space="preserve">Escavação manual material de 1ª categoria prof. 1,50 m até 3,00m  </v>
          </cell>
          <cell r="H145" t="str">
            <v xml:space="preserve">m³    </v>
          </cell>
          <cell r="I145">
            <v>4000</v>
          </cell>
          <cell r="J145">
            <v>25.56</v>
          </cell>
          <cell r="K145">
            <v>26.63</v>
          </cell>
          <cell r="L145">
            <v>102240</v>
          </cell>
        </row>
        <row r="146">
          <cell r="D146" t="str">
            <v xml:space="preserve">  B. 10.            </v>
          </cell>
          <cell r="E146" t="str">
            <v>CP1085</v>
          </cell>
          <cell r="F146" t="str">
            <v>2.5.</v>
          </cell>
          <cell r="G146" t="str">
            <v xml:space="preserve">Carga mecânica de material em caminhão basculante  </v>
          </cell>
          <cell r="H146" t="str">
            <v xml:space="preserve">m³    </v>
          </cell>
          <cell r="I146">
            <v>13900</v>
          </cell>
          <cell r="J146">
            <v>1.23</v>
          </cell>
          <cell r="K146">
            <v>1.74</v>
          </cell>
          <cell r="L146">
            <v>17097</v>
          </cell>
        </row>
        <row r="147">
          <cell r="D147" t="str">
            <v xml:space="preserve">  B. 11.            </v>
          </cell>
          <cell r="E147" t="str">
            <v>CP1070</v>
          </cell>
          <cell r="F147" t="str">
            <v>2.6.</v>
          </cell>
          <cell r="G147" t="str">
            <v xml:space="preserve">Transporte mecânico de material em caminhão basculante  </v>
          </cell>
          <cell r="H147" t="str">
            <v xml:space="preserve">m³xkm </v>
          </cell>
          <cell r="I147">
            <v>139000</v>
          </cell>
          <cell r="J147">
            <v>2.38</v>
          </cell>
          <cell r="K147">
            <v>2.35</v>
          </cell>
          <cell r="L147">
            <v>330820</v>
          </cell>
        </row>
        <row r="148">
          <cell r="D148" t="str">
            <v xml:space="preserve">  B. 12.            </v>
          </cell>
          <cell r="E148" t="str">
            <v xml:space="preserve">      </v>
          </cell>
          <cell r="F148" t="str">
            <v>3.</v>
          </cell>
          <cell r="G148" t="str">
            <v xml:space="preserve">Estruturas de Concreto (incluindo obras diversas)  </v>
          </cell>
          <cell r="H148" t="str">
            <v xml:space="preserve">      </v>
          </cell>
          <cell r="I148">
            <v>0</v>
          </cell>
          <cell r="J148">
            <v>0</v>
          </cell>
          <cell r="K148">
            <v>0</v>
          </cell>
          <cell r="L148">
            <v>0</v>
          </cell>
        </row>
        <row r="149">
          <cell r="D149" t="str">
            <v xml:space="preserve">  B. 13.            </v>
          </cell>
          <cell r="E149" t="str">
            <v xml:space="preserve">      </v>
          </cell>
          <cell r="F149" t="str">
            <v>3.1.</v>
          </cell>
          <cell r="G149" t="str">
            <v xml:space="preserve">Escavação e concretagem de tubulões mecanizados  </v>
          </cell>
          <cell r="H149" t="str">
            <v xml:space="preserve">      </v>
          </cell>
          <cell r="I149">
            <v>0</v>
          </cell>
          <cell r="J149">
            <v>0</v>
          </cell>
          <cell r="K149">
            <v>0</v>
          </cell>
          <cell r="L149">
            <v>0</v>
          </cell>
        </row>
        <row r="150">
          <cell r="D150" t="str">
            <v xml:space="preserve">  B. 14.            </v>
          </cell>
          <cell r="E150" t="str">
            <v>CP0088</v>
          </cell>
          <cell r="F150" t="str">
            <v>3.1.1.</v>
          </cell>
          <cell r="G150" t="str">
            <v xml:space="preserve">Escavação e concretagem de tubulões mecanizados D = 30 cm  </v>
          </cell>
          <cell r="H150" t="str">
            <v xml:space="preserve">m     </v>
          </cell>
          <cell r="I150">
            <v>627</v>
          </cell>
          <cell r="J150">
            <v>80.77</v>
          </cell>
          <cell r="K150">
            <v>81.42</v>
          </cell>
          <cell r="L150">
            <v>50642.79</v>
          </cell>
        </row>
        <row r="151">
          <cell r="D151" t="str">
            <v xml:space="preserve">  B. 15.            </v>
          </cell>
          <cell r="E151" t="str">
            <v>CP0083</v>
          </cell>
          <cell r="F151" t="str">
            <v>3.1.2.</v>
          </cell>
          <cell r="G151" t="str">
            <v xml:space="preserve">Escavação e concretagem de tubulões mecanizados D = 35 cm  </v>
          </cell>
          <cell r="H151" t="str">
            <v xml:space="preserve">m     </v>
          </cell>
          <cell r="I151">
            <v>270</v>
          </cell>
          <cell r="J151">
            <v>96.36</v>
          </cell>
          <cell r="K151">
            <v>92.04</v>
          </cell>
          <cell r="L151">
            <v>26017.200000000001</v>
          </cell>
        </row>
        <row r="152">
          <cell r="D152" t="str">
            <v xml:space="preserve">  B. 16.            </v>
          </cell>
          <cell r="E152" t="str">
            <v>CP0077</v>
          </cell>
          <cell r="F152" t="str">
            <v>3.1.3.</v>
          </cell>
          <cell r="G152" t="str">
            <v xml:space="preserve">Escavação e concretagem de tubulões mecanizados D = 50 cm  </v>
          </cell>
          <cell r="H152" t="str">
            <v xml:space="preserve">m     </v>
          </cell>
          <cell r="I152">
            <v>780</v>
          </cell>
          <cell r="J152">
            <v>159.41</v>
          </cell>
          <cell r="K152">
            <v>145.24</v>
          </cell>
          <cell r="L152">
            <v>124339.8</v>
          </cell>
        </row>
        <row r="153">
          <cell r="D153" t="str">
            <v xml:space="preserve">  B. 17.            </v>
          </cell>
          <cell r="E153" t="str">
            <v>CP0075</v>
          </cell>
          <cell r="F153" t="str">
            <v>3.1.4.</v>
          </cell>
          <cell r="G153" t="str">
            <v xml:space="preserve">Escavação e concretagem de tubulões mecanizados D = 60 cm  </v>
          </cell>
          <cell r="H153" t="str">
            <v xml:space="preserve">m     </v>
          </cell>
          <cell r="I153">
            <v>577</v>
          </cell>
          <cell r="J153">
            <v>210.19</v>
          </cell>
          <cell r="K153">
            <v>259</v>
          </cell>
          <cell r="L153">
            <v>121279.63</v>
          </cell>
        </row>
        <row r="154">
          <cell r="D154" t="str">
            <v xml:space="preserve">  B. 18.            </v>
          </cell>
          <cell r="E154" t="str">
            <v>CP0072</v>
          </cell>
          <cell r="F154" t="str">
            <v>3.1.5.</v>
          </cell>
          <cell r="G154" t="str">
            <v xml:space="preserve">Escavação e concretagem de tubulões mecanizados D = 70 cm  </v>
          </cell>
          <cell r="H154" t="str">
            <v xml:space="preserve">m     </v>
          </cell>
          <cell r="I154">
            <v>765</v>
          </cell>
          <cell r="J154">
            <v>284.89</v>
          </cell>
          <cell r="K154">
            <v>319.92</v>
          </cell>
          <cell r="L154">
            <v>217940.85</v>
          </cell>
        </row>
        <row r="155">
          <cell r="D155" t="str">
            <v xml:space="preserve">  B. 19.            </v>
          </cell>
          <cell r="E155" t="str">
            <v>CP0070</v>
          </cell>
          <cell r="F155" t="str">
            <v>3.1.6.</v>
          </cell>
          <cell r="G155" t="str">
            <v xml:space="preserve">Escavação e concretagem de tubulões mecanizados D = 80 cm  </v>
          </cell>
          <cell r="H155" t="str">
            <v xml:space="preserve">m     </v>
          </cell>
          <cell r="I155">
            <v>460</v>
          </cell>
          <cell r="J155">
            <v>364.76</v>
          </cell>
          <cell r="K155">
            <v>431.02</v>
          </cell>
          <cell r="L155">
            <v>167789.6</v>
          </cell>
        </row>
        <row r="156">
          <cell r="D156" t="str">
            <v xml:space="preserve">  B. 20.            </v>
          </cell>
          <cell r="E156" t="str">
            <v>CP0061</v>
          </cell>
          <cell r="F156" t="str">
            <v>3.2.</v>
          </cell>
          <cell r="G156" t="str">
            <v xml:space="preserve">Formas planas para estruturas em chapa de madeira plastificada - 02 reaproveitamentos, inclusive desforma  </v>
          </cell>
          <cell r="H156" t="str">
            <v xml:space="preserve">m²    </v>
          </cell>
          <cell r="I156">
            <v>4960</v>
          </cell>
          <cell r="J156">
            <v>87.97</v>
          </cell>
          <cell r="K156">
            <v>73.349999999999994</v>
          </cell>
          <cell r="L156">
            <v>436331.2</v>
          </cell>
        </row>
        <row r="157">
          <cell r="D157" t="str">
            <v xml:space="preserve">  B. 21.            </v>
          </cell>
          <cell r="E157" t="str">
            <v>CP1056</v>
          </cell>
          <cell r="F157" t="str">
            <v>3.3.</v>
          </cell>
          <cell r="G157" t="str">
            <v xml:space="preserve">Armadura de aço CA-50, com fornecimento do material Corte e dobra  </v>
          </cell>
          <cell r="H157" t="str">
            <v xml:space="preserve">kg    </v>
          </cell>
          <cell r="I157">
            <v>318200</v>
          </cell>
          <cell r="J157">
            <v>6.9</v>
          </cell>
          <cell r="K157">
            <v>5.78</v>
          </cell>
          <cell r="L157">
            <v>2195580</v>
          </cell>
        </row>
        <row r="158">
          <cell r="D158" t="str">
            <v xml:space="preserve">  B. 22.            </v>
          </cell>
          <cell r="E158" t="str">
            <v>CP0095</v>
          </cell>
          <cell r="F158" t="str">
            <v>3.4.</v>
          </cell>
          <cell r="G158" t="str">
            <v xml:space="preserve">Fornecimento e lançamento de concreto usinado 21 MPA com cimento alto forno, brita granítica e adição de microsílica  </v>
          </cell>
          <cell r="H158" t="str">
            <v xml:space="preserve">m³    </v>
          </cell>
          <cell r="I158">
            <v>2500</v>
          </cell>
          <cell r="J158">
            <v>378.14</v>
          </cell>
          <cell r="K158">
            <v>315.63</v>
          </cell>
          <cell r="L158">
            <v>945350</v>
          </cell>
        </row>
        <row r="159">
          <cell r="D159" t="str">
            <v xml:space="preserve">  B. 23.            </v>
          </cell>
          <cell r="E159" t="str">
            <v>CP0052</v>
          </cell>
          <cell r="F159" t="str">
            <v>3.5.</v>
          </cell>
          <cell r="G159" t="str">
            <v xml:space="preserve">Preparo e lançamento de concreto simples  </v>
          </cell>
          <cell r="H159" t="str">
            <v xml:space="preserve">m³    </v>
          </cell>
          <cell r="I159">
            <v>75</v>
          </cell>
          <cell r="J159">
            <v>284.95</v>
          </cell>
          <cell r="K159">
            <v>286.02999999999997</v>
          </cell>
          <cell r="L159">
            <v>21371.25</v>
          </cell>
        </row>
        <row r="160">
          <cell r="D160" t="str">
            <v xml:space="preserve">  B. 24.            </v>
          </cell>
          <cell r="E160" t="str">
            <v xml:space="preserve">      </v>
          </cell>
          <cell r="F160" t="str">
            <v>4.</v>
          </cell>
          <cell r="G160" t="str">
            <v xml:space="preserve">Fornecimento de Equipamentos Hidráulicos, Mecânicos e Eletromecânicos, conforme Especificações Técnicas, relativas a cada Equipamento  </v>
          </cell>
          <cell r="H160" t="str">
            <v xml:space="preserve">      </v>
          </cell>
          <cell r="I160">
            <v>0</v>
          </cell>
          <cell r="J160">
            <v>0</v>
          </cell>
          <cell r="K160">
            <v>0</v>
          </cell>
          <cell r="L160">
            <v>0</v>
          </cell>
        </row>
        <row r="161">
          <cell r="D161" t="str">
            <v xml:space="preserve">  B. 25.            </v>
          </cell>
          <cell r="E161" t="str">
            <v>CP1254</v>
          </cell>
          <cell r="F161" t="str">
            <v>4.1.</v>
          </cell>
          <cell r="G161" t="str">
            <v xml:space="preserve">Calha Parshall para medição de vazão de água bruta, em PRFV, W=2400 mm  </v>
          </cell>
          <cell r="H161" t="str">
            <v xml:space="preserve">un    </v>
          </cell>
          <cell r="I161">
            <v>1</v>
          </cell>
          <cell r="J161">
            <v>49439.17</v>
          </cell>
          <cell r="K161">
            <v>70627.39</v>
          </cell>
          <cell r="L161">
            <v>49439.17</v>
          </cell>
        </row>
        <row r="162">
          <cell r="D162" t="str">
            <v xml:space="preserve">  B. 26.            </v>
          </cell>
          <cell r="E162" t="str">
            <v>CP1260</v>
          </cell>
          <cell r="F162" t="str">
            <v>4.2.</v>
          </cell>
          <cell r="G162" t="str">
            <v xml:space="preserve">Agitador mecanizado para floculador tipo turbina de fluxo axial, velocidade de rotação 24 rpm &lt; v &lt; 37 rpm  </v>
          </cell>
          <cell r="H162" t="str">
            <v xml:space="preserve">un    </v>
          </cell>
          <cell r="I162">
            <v>18</v>
          </cell>
          <cell r="J162">
            <v>71125.86</v>
          </cell>
          <cell r="K162">
            <v>59276.49</v>
          </cell>
          <cell r="L162">
            <v>1280265.48</v>
          </cell>
        </row>
        <row r="163">
          <cell r="D163" t="str">
            <v xml:space="preserve">  B. 27.            </v>
          </cell>
          <cell r="E163" t="str">
            <v>CP1293</v>
          </cell>
          <cell r="F163" t="str">
            <v>4.3.</v>
          </cell>
          <cell r="G163" t="str">
            <v xml:space="preserve">Comporta de superfície com acionamento pneumático, 0,60 m x 2,05 m  </v>
          </cell>
          <cell r="H163" t="str">
            <v xml:space="preserve">un    </v>
          </cell>
          <cell r="I163">
            <v>12</v>
          </cell>
          <cell r="J163">
            <v>23393.56</v>
          </cell>
          <cell r="K163">
            <v>32336.19</v>
          </cell>
          <cell r="L163">
            <v>280722.71999999997</v>
          </cell>
        </row>
        <row r="164">
          <cell r="D164" t="str">
            <v xml:space="preserve">  B. 28.            </v>
          </cell>
          <cell r="E164" t="str">
            <v>CP1242</v>
          </cell>
          <cell r="F164" t="str">
            <v>4.4.</v>
          </cell>
          <cell r="G164" t="str">
            <v xml:space="preserve">Comporta de superfície com acionamento pneumático, 1,45 m x 2,70 m  </v>
          </cell>
          <cell r="H164" t="str">
            <v xml:space="preserve">un    </v>
          </cell>
          <cell r="I164">
            <v>6</v>
          </cell>
          <cell r="J164">
            <v>32033.02</v>
          </cell>
          <cell r="K164">
            <v>45761.45</v>
          </cell>
          <cell r="L164">
            <v>192198.12</v>
          </cell>
        </row>
        <row r="165">
          <cell r="D165" t="str">
            <v xml:space="preserve">  B. 29.            </v>
          </cell>
          <cell r="E165" t="str">
            <v>CP1232</v>
          </cell>
          <cell r="F165" t="str">
            <v>4.5.</v>
          </cell>
          <cell r="G165" t="str">
            <v xml:space="preserve">Comporta de superfície com acionamento pneumático, 1,50 m x 3,05 m  </v>
          </cell>
          <cell r="H165" t="str">
            <v xml:space="preserve">un    </v>
          </cell>
          <cell r="I165">
            <v>2</v>
          </cell>
          <cell r="J165">
            <v>32033.02</v>
          </cell>
          <cell r="K165">
            <v>45761.45</v>
          </cell>
          <cell r="L165">
            <v>64066.04</v>
          </cell>
        </row>
        <row r="166">
          <cell r="D166" t="str">
            <v xml:space="preserve">  B. 30.            </v>
          </cell>
          <cell r="E166" t="str">
            <v>CP1233</v>
          </cell>
          <cell r="F166" t="str">
            <v>4.6.</v>
          </cell>
          <cell r="G166" t="str">
            <v xml:space="preserve">Comporta de superfície com acionamento pneumático, 1,50 m x 3,00 m  </v>
          </cell>
          <cell r="H166" t="str">
            <v xml:space="preserve">un    </v>
          </cell>
          <cell r="I166">
            <v>2</v>
          </cell>
          <cell r="J166">
            <v>32033.02</v>
          </cell>
          <cell r="K166">
            <v>45761.45</v>
          </cell>
          <cell r="L166">
            <v>64066.04</v>
          </cell>
        </row>
        <row r="167">
          <cell r="D167" t="str">
            <v xml:space="preserve">  B. 31.            </v>
          </cell>
          <cell r="E167" t="str">
            <v>CP1236</v>
          </cell>
          <cell r="F167" t="str">
            <v>4.7.</v>
          </cell>
          <cell r="G167" t="str">
            <v xml:space="preserve">Comporta de superfície com acionamento pneumático, 1,50 m x 2,85 m  </v>
          </cell>
          <cell r="H167" t="str">
            <v xml:space="preserve">un    </v>
          </cell>
          <cell r="I167">
            <v>2</v>
          </cell>
          <cell r="J167">
            <v>32033.02</v>
          </cell>
          <cell r="K167">
            <v>45761.45</v>
          </cell>
          <cell r="L167">
            <v>64066.04</v>
          </cell>
        </row>
        <row r="168">
          <cell r="D168" t="str">
            <v xml:space="preserve">  B. 32.            </v>
          </cell>
          <cell r="E168" t="str">
            <v>CP1268</v>
          </cell>
          <cell r="F168" t="str">
            <v>4.8.</v>
          </cell>
          <cell r="G168" t="str">
            <v xml:space="preserve">Comporta de superfície com acionamento pneumático, 0,60 m x 1,10 m  </v>
          </cell>
          <cell r="H168" t="str">
            <v xml:space="preserve">un    </v>
          </cell>
          <cell r="I168">
            <v>16</v>
          </cell>
          <cell r="J168">
            <v>37798.42</v>
          </cell>
          <cell r="K168">
            <v>32032.560000000001</v>
          </cell>
          <cell r="L168">
            <v>604774.72</v>
          </cell>
        </row>
        <row r="169">
          <cell r="D169" t="str">
            <v xml:space="preserve">  B. 33.            </v>
          </cell>
          <cell r="E169" t="str">
            <v>CP1329</v>
          </cell>
          <cell r="F169" t="str">
            <v>4.9.</v>
          </cell>
          <cell r="G169" t="str">
            <v xml:space="preserve">Stop log em fibra de vidro, 1, 90 m x 3,05 m  </v>
          </cell>
          <cell r="H169" t="str">
            <v xml:space="preserve">un    </v>
          </cell>
          <cell r="I169">
            <v>2</v>
          </cell>
          <cell r="J169">
            <v>26437.37</v>
          </cell>
          <cell r="K169">
            <v>37497.83</v>
          </cell>
          <cell r="L169">
            <v>52874.74</v>
          </cell>
        </row>
        <row r="170">
          <cell r="D170" t="str">
            <v xml:space="preserve">  B. 34.            </v>
          </cell>
          <cell r="E170" t="str">
            <v>CP1237</v>
          </cell>
          <cell r="F170" t="str">
            <v>4.10.</v>
          </cell>
          <cell r="G170" t="str">
            <v xml:space="preserve">Compressor de ar, tipo rotativo a parafuso  </v>
          </cell>
          <cell r="H170" t="str">
            <v xml:space="preserve">un    </v>
          </cell>
          <cell r="I170">
            <v>2</v>
          </cell>
          <cell r="J170">
            <v>58866.879999999997</v>
          </cell>
          <cell r="K170">
            <v>82906.149999999994</v>
          </cell>
          <cell r="L170">
            <v>117733.75999999999</v>
          </cell>
        </row>
        <row r="171">
          <cell r="D171" t="str">
            <v xml:space="preserve">  B. 35.            </v>
          </cell>
          <cell r="E171" t="str">
            <v>CP1308</v>
          </cell>
          <cell r="F171" t="str">
            <v>4.11.</v>
          </cell>
          <cell r="G171" t="str">
            <v xml:space="preserve">Tanque pulmão  </v>
          </cell>
          <cell r="H171" t="str">
            <v xml:space="preserve">un    </v>
          </cell>
          <cell r="I171">
            <v>2</v>
          </cell>
          <cell r="J171">
            <v>87476.24</v>
          </cell>
          <cell r="K171">
            <v>124966.05</v>
          </cell>
          <cell r="L171">
            <v>174952.48</v>
          </cell>
        </row>
        <row r="172">
          <cell r="D172" t="str">
            <v xml:space="preserve">  B. 36.            </v>
          </cell>
          <cell r="E172" t="str">
            <v>CP1292</v>
          </cell>
          <cell r="F172" t="str">
            <v>4.12.</v>
          </cell>
          <cell r="G172" t="str">
            <v xml:space="preserve">Tanque de saturação  </v>
          </cell>
          <cell r="H172" t="str">
            <v xml:space="preserve">un    </v>
          </cell>
          <cell r="I172">
            <v>8</v>
          </cell>
          <cell r="J172">
            <v>164199.15</v>
          </cell>
          <cell r="K172">
            <v>136844.03</v>
          </cell>
          <cell r="L172">
            <v>1313593.2</v>
          </cell>
        </row>
        <row r="173">
          <cell r="D173" t="str">
            <v xml:space="preserve">  B. 37.            </v>
          </cell>
          <cell r="E173" t="str">
            <v>CP1201</v>
          </cell>
          <cell r="F173" t="str">
            <v>4.13.</v>
          </cell>
          <cell r="G173" t="str">
            <v xml:space="preserve">Moto-bombas de recirculação de água clarificada  </v>
          </cell>
          <cell r="H173" t="str">
            <v xml:space="preserve">un    </v>
          </cell>
          <cell r="I173">
            <v>9</v>
          </cell>
          <cell r="J173">
            <v>206733.72</v>
          </cell>
          <cell r="K173">
            <v>190691.97</v>
          </cell>
          <cell r="L173">
            <v>1860603.48</v>
          </cell>
        </row>
        <row r="174">
          <cell r="D174" t="str">
            <v xml:space="preserve">  B. 38.            </v>
          </cell>
          <cell r="E174" t="str">
            <v>CP1191</v>
          </cell>
          <cell r="F174" t="str">
            <v>4.14.</v>
          </cell>
          <cell r="G174" t="str">
            <v xml:space="preserve">Raspador superficial de lodo  </v>
          </cell>
          <cell r="H174" t="str">
            <v xml:space="preserve">un    </v>
          </cell>
          <cell r="I174">
            <v>8</v>
          </cell>
          <cell r="J174">
            <v>218493.17</v>
          </cell>
          <cell r="K174">
            <v>229389.57</v>
          </cell>
          <cell r="L174">
            <v>1747945.36</v>
          </cell>
        </row>
        <row r="175">
          <cell r="D175" t="str">
            <v xml:space="preserve">  B. 39.            </v>
          </cell>
          <cell r="E175" t="str">
            <v>CP1208</v>
          </cell>
          <cell r="F175" t="str">
            <v>4.15.</v>
          </cell>
          <cell r="G175" t="str">
            <v xml:space="preserve">Removedor de lodo  </v>
          </cell>
          <cell r="H175" t="str">
            <v xml:space="preserve">un    </v>
          </cell>
          <cell r="I175">
            <v>2</v>
          </cell>
          <cell r="J175">
            <v>101799.89</v>
          </cell>
          <cell r="K175">
            <v>145428.41</v>
          </cell>
          <cell r="L175">
            <v>203599.78</v>
          </cell>
        </row>
        <row r="176">
          <cell r="D176" t="str">
            <v xml:space="preserve">  B. 40.            </v>
          </cell>
          <cell r="E176" t="str">
            <v>CP1478</v>
          </cell>
          <cell r="F176" t="str">
            <v>4.16.</v>
          </cell>
          <cell r="G176" t="str">
            <v xml:space="preserve">Moto-bomba de recalque de lodo  </v>
          </cell>
          <cell r="H176" t="str">
            <v xml:space="preserve">un    </v>
          </cell>
          <cell r="I176">
            <v>5</v>
          </cell>
          <cell r="J176">
            <v>29556.78</v>
          </cell>
          <cell r="K176">
            <v>27906.65</v>
          </cell>
          <cell r="L176">
            <v>147783.9</v>
          </cell>
        </row>
        <row r="177">
          <cell r="D177" t="str">
            <v xml:space="preserve">  B. 41.            </v>
          </cell>
          <cell r="E177" t="str">
            <v>CP1288</v>
          </cell>
          <cell r="F177" t="str">
            <v>4.17.</v>
          </cell>
          <cell r="G177" t="str">
            <v xml:space="preserve">Misturador submersível para lodo flotado  </v>
          </cell>
          <cell r="H177" t="str">
            <v xml:space="preserve">un    </v>
          </cell>
          <cell r="I177">
            <v>2</v>
          </cell>
          <cell r="J177">
            <v>30503.82</v>
          </cell>
          <cell r="K177">
            <v>43576.88</v>
          </cell>
          <cell r="L177">
            <v>61007.64</v>
          </cell>
        </row>
        <row r="178">
          <cell r="D178" t="str">
            <v xml:space="preserve">  B. 42.            </v>
          </cell>
          <cell r="E178" t="str">
            <v>CP1349</v>
          </cell>
          <cell r="F178" t="str">
            <v>4.18.</v>
          </cell>
          <cell r="G178" t="str">
            <v xml:space="preserve">Comporta em fibra de vidro 1, 9 x 2,7m c/ haste e volante  </v>
          </cell>
          <cell r="H178" t="str">
            <v xml:space="preserve">un    </v>
          </cell>
          <cell r="I178">
            <v>2</v>
          </cell>
          <cell r="J178">
            <v>40913.85</v>
          </cell>
          <cell r="K178">
            <v>58448.36</v>
          </cell>
          <cell r="L178">
            <v>81827.7</v>
          </cell>
        </row>
        <row r="179">
          <cell r="D179" t="str">
            <v xml:space="preserve">  B. 43.            </v>
          </cell>
          <cell r="E179" t="str">
            <v xml:space="preserve">      </v>
          </cell>
          <cell r="F179" t="str">
            <v>5.</v>
          </cell>
          <cell r="G179" t="str">
            <v xml:space="preserve">Montagem de Equipamentos Hidráulicos, Mecânicos e Eletromecânicos, conforme Especificações Técnicas, Relativas a cada Equipamento  </v>
          </cell>
          <cell r="H179" t="str">
            <v xml:space="preserve">      </v>
          </cell>
          <cell r="I179">
            <v>0</v>
          </cell>
          <cell r="J179">
            <v>0</v>
          </cell>
          <cell r="K179">
            <v>0</v>
          </cell>
          <cell r="L179">
            <v>0</v>
          </cell>
        </row>
        <row r="180">
          <cell r="D180" t="str">
            <v xml:space="preserve">  B. 44.            </v>
          </cell>
          <cell r="E180" t="str">
            <v>CP0617</v>
          </cell>
          <cell r="F180" t="str">
            <v>5.1.</v>
          </cell>
          <cell r="G180" t="str">
            <v xml:space="preserve">Calha Parshall para medição de vazão de água bruta  </v>
          </cell>
          <cell r="H180" t="str">
            <v xml:space="preserve">un    </v>
          </cell>
          <cell r="I180">
            <v>1</v>
          </cell>
          <cell r="J180">
            <v>803.8</v>
          </cell>
          <cell r="K180">
            <v>670.99</v>
          </cell>
          <cell r="L180">
            <v>803.8</v>
          </cell>
        </row>
        <row r="181">
          <cell r="D181" t="str">
            <v xml:space="preserve">  B. 45.            </v>
          </cell>
          <cell r="E181" t="str">
            <v>CP4602</v>
          </cell>
          <cell r="F181" t="str">
            <v>5.2.</v>
          </cell>
          <cell r="G181" t="str">
            <v xml:space="preserve">Agitador mecanizado para floculador tipo turbina de fluxo axial, velocidade de rotação 24 rpm &lt; v &lt; 37 rpm  </v>
          </cell>
          <cell r="H181" t="str">
            <v xml:space="preserve">un    </v>
          </cell>
          <cell r="I181">
            <v>18</v>
          </cell>
          <cell r="J181">
            <v>890.64</v>
          </cell>
          <cell r="K181">
            <v>742.2</v>
          </cell>
          <cell r="L181">
            <v>16031.52</v>
          </cell>
        </row>
        <row r="182">
          <cell r="D182" t="str">
            <v xml:space="preserve">  B. 46.            </v>
          </cell>
          <cell r="E182" t="str">
            <v>CP0509</v>
          </cell>
          <cell r="F182" t="str">
            <v>5.3.</v>
          </cell>
          <cell r="G182" t="str">
            <v xml:space="preserve">Comporta de superfície com acionamento pneumático, 0,60 m x 2,05 m  </v>
          </cell>
          <cell r="H182" t="str">
            <v xml:space="preserve">un    </v>
          </cell>
          <cell r="I182">
            <v>12</v>
          </cell>
          <cell r="J182">
            <v>555.29999999999995</v>
          </cell>
          <cell r="K182">
            <v>463.86</v>
          </cell>
          <cell r="L182">
            <v>6663.6</v>
          </cell>
        </row>
        <row r="183">
          <cell r="D183" t="str">
            <v xml:space="preserve">  B. 47.            </v>
          </cell>
          <cell r="E183" t="str">
            <v>CP0500</v>
          </cell>
          <cell r="F183" t="str">
            <v>5.4.</v>
          </cell>
          <cell r="G183" t="str">
            <v xml:space="preserve">Comporta de superfície com acionamento pneumático, 1,45 m x 2,70 m  </v>
          </cell>
          <cell r="H183" t="str">
            <v xml:space="preserve">un    </v>
          </cell>
          <cell r="I183">
            <v>6</v>
          </cell>
          <cell r="J183">
            <v>582.66</v>
          </cell>
          <cell r="K183">
            <v>487.86</v>
          </cell>
          <cell r="L183">
            <v>3495.96</v>
          </cell>
        </row>
        <row r="184">
          <cell r="D184" t="str">
            <v xml:space="preserve">  B. 48.            </v>
          </cell>
          <cell r="E184" t="str">
            <v>CP0500A</v>
          </cell>
          <cell r="F184" t="str">
            <v>5.5.</v>
          </cell>
          <cell r="G184" t="str">
            <v xml:space="preserve">Comporta de superfície com acionamento pneumático, 1,50 m x 3,05 m  </v>
          </cell>
          <cell r="H184" t="str">
            <v xml:space="preserve">un    </v>
          </cell>
          <cell r="I184">
            <v>2</v>
          </cell>
          <cell r="J184">
            <v>582.66</v>
          </cell>
          <cell r="K184">
            <v>487.86</v>
          </cell>
          <cell r="L184">
            <v>1165.32</v>
          </cell>
        </row>
        <row r="185">
          <cell r="D185" t="str">
            <v xml:space="preserve">  B. 49.            </v>
          </cell>
          <cell r="E185" t="str">
            <v>CP0500B</v>
          </cell>
          <cell r="F185" t="str">
            <v>5.6.</v>
          </cell>
          <cell r="G185" t="str">
            <v xml:space="preserve">Comporta de superfície com acionamento pneumático, 1,50 m x 3,00 m  </v>
          </cell>
          <cell r="H185" t="str">
            <v xml:space="preserve">un    </v>
          </cell>
          <cell r="I185">
            <v>2</v>
          </cell>
          <cell r="J185">
            <v>582.66</v>
          </cell>
          <cell r="K185">
            <v>487.86</v>
          </cell>
          <cell r="L185">
            <v>1165.32</v>
          </cell>
        </row>
        <row r="186">
          <cell r="D186" t="str">
            <v xml:space="preserve">  B. 50.            </v>
          </cell>
          <cell r="E186" t="str">
            <v>CP0500C</v>
          </cell>
          <cell r="F186" t="str">
            <v>5.7.</v>
          </cell>
          <cell r="G186" t="str">
            <v xml:space="preserve">Comporta de superfície com acionamento pneumático, 1,50 m x 2,85 m  </v>
          </cell>
          <cell r="H186" t="str">
            <v xml:space="preserve">un    </v>
          </cell>
          <cell r="I186">
            <v>2</v>
          </cell>
          <cell r="J186">
            <v>582.66</v>
          </cell>
          <cell r="K186">
            <v>487.86</v>
          </cell>
          <cell r="L186">
            <v>1165.32</v>
          </cell>
        </row>
        <row r="187">
          <cell r="D187" t="str">
            <v xml:space="preserve">  B. 51.            </v>
          </cell>
          <cell r="E187" t="str">
            <v>CP0499</v>
          </cell>
          <cell r="F187" t="str">
            <v>5.8.</v>
          </cell>
          <cell r="G187" t="str">
            <v xml:space="preserve">Comporta de superfície com acionamento pneumático, 0,60 m x 1,10 m  </v>
          </cell>
          <cell r="H187" t="str">
            <v xml:space="preserve">un    </v>
          </cell>
          <cell r="I187">
            <v>16</v>
          </cell>
          <cell r="J187">
            <v>548.26</v>
          </cell>
          <cell r="K187">
            <v>487.86</v>
          </cell>
          <cell r="L187">
            <v>8772.16</v>
          </cell>
        </row>
        <row r="188">
          <cell r="D188" t="str">
            <v xml:space="preserve">  B. 52.            </v>
          </cell>
          <cell r="E188" t="str">
            <v>CP0187</v>
          </cell>
          <cell r="F188" t="str">
            <v>5.9.</v>
          </cell>
          <cell r="G188" t="str">
            <v xml:space="preserve">Stop log em fibra de vidro, 1, 90 m x 3,05 m  </v>
          </cell>
          <cell r="H188" t="str">
            <v xml:space="preserve">un    </v>
          </cell>
          <cell r="I188">
            <v>2</v>
          </cell>
          <cell r="J188">
            <v>239.65</v>
          </cell>
          <cell r="K188">
            <v>200.33</v>
          </cell>
          <cell r="L188">
            <v>479.3</v>
          </cell>
        </row>
        <row r="189">
          <cell r="D189" t="str">
            <v xml:space="preserve">  B. 53.            </v>
          </cell>
          <cell r="E189" t="str">
            <v>CP0497</v>
          </cell>
          <cell r="F189" t="str">
            <v>5.10.</v>
          </cell>
          <cell r="G189" t="str">
            <v xml:space="preserve">Compressor de ar, tipo rotativo a parafuso  </v>
          </cell>
          <cell r="H189" t="str">
            <v xml:space="preserve">un    </v>
          </cell>
          <cell r="I189">
            <v>2</v>
          </cell>
          <cell r="J189">
            <v>1986.41</v>
          </cell>
          <cell r="K189">
            <v>1660.15</v>
          </cell>
          <cell r="L189">
            <v>3972.82</v>
          </cell>
        </row>
        <row r="190">
          <cell r="D190" t="str">
            <v xml:space="preserve">  B. 54.            </v>
          </cell>
          <cell r="E190" t="str">
            <v>CP0493</v>
          </cell>
          <cell r="F190" t="str">
            <v>5.11.</v>
          </cell>
          <cell r="G190" t="str">
            <v xml:space="preserve">Tanque pulmão  </v>
          </cell>
          <cell r="H190" t="str">
            <v xml:space="preserve">un    </v>
          </cell>
          <cell r="I190">
            <v>2</v>
          </cell>
          <cell r="J190">
            <v>752.14</v>
          </cell>
          <cell r="K190">
            <v>629.07000000000005</v>
          </cell>
          <cell r="L190">
            <v>1504.28</v>
          </cell>
        </row>
        <row r="191">
          <cell r="D191" t="str">
            <v xml:space="preserve">  B. 55.            </v>
          </cell>
          <cell r="E191" t="str">
            <v>CP0479</v>
          </cell>
          <cell r="F191" t="str">
            <v>5.12.</v>
          </cell>
          <cell r="G191" t="str">
            <v xml:space="preserve">Tanque de saturação  </v>
          </cell>
          <cell r="H191" t="str">
            <v xml:space="preserve">un    </v>
          </cell>
          <cell r="I191">
            <v>8</v>
          </cell>
          <cell r="J191">
            <v>827.33</v>
          </cell>
          <cell r="K191">
            <v>829.21</v>
          </cell>
          <cell r="L191">
            <v>6618.64</v>
          </cell>
        </row>
        <row r="192">
          <cell r="D192" t="str">
            <v xml:space="preserve">  B. 56.            </v>
          </cell>
          <cell r="E192" t="str">
            <v>CP0478</v>
          </cell>
          <cell r="F192" t="str">
            <v>5.13.</v>
          </cell>
          <cell r="G192" t="str">
            <v xml:space="preserve">Moto-bombas de recirculação de água clarificada  </v>
          </cell>
          <cell r="H192" t="str">
            <v xml:space="preserve">un    </v>
          </cell>
          <cell r="I192">
            <v>9</v>
          </cell>
          <cell r="J192">
            <v>2227.84</v>
          </cell>
          <cell r="K192">
            <v>1869.49</v>
          </cell>
          <cell r="L192">
            <v>20050.560000000001</v>
          </cell>
        </row>
        <row r="193">
          <cell r="D193" t="str">
            <v xml:space="preserve">  B. 57.            </v>
          </cell>
          <cell r="E193" t="str">
            <v>CP0477</v>
          </cell>
          <cell r="F193" t="str">
            <v>5.14.</v>
          </cell>
          <cell r="G193" t="str">
            <v xml:space="preserve">Raspador superficial de lodo  </v>
          </cell>
          <cell r="H193" t="str">
            <v xml:space="preserve">un    </v>
          </cell>
          <cell r="I193">
            <v>8</v>
          </cell>
          <cell r="J193">
            <v>4881.74</v>
          </cell>
          <cell r="K193">
            <v>4094.5</v>
          </cell>
          <cell r="L193">
            <v>39053.919999999998</v>
          </cell>
        </row>
        <row r="194">
          <cell r="D194" t="str">
            <v xml:space="preserve">  B. 58.            </v>
          </cell>
          <cell r="E194" t="str">
            <v>CP0476</v>
          </cell>
          <cell r="F194" t="str">
            <v>5.15.</v>
          </cell>
          <cell r="G194" t="str">
            <v xml:space="preserve">Removedor de lodo  </v>
          </cell>
          <cell r="H194" t="str">
            <v xml:space="preserve">un    </v>
          </cell>
          <cell r="I194">
            <v>2</v>
          </cell>
          <cell r="J194">
            <v>4561.7700000000004</v>
          </cell>
          <cell r="K194">
            <v>3818.02</v>
          </cell>
          <cell r="L194">
            <v>9123.5400000000009</v>
          </cell>
        </row>
        <row r="195">
          <cell r="D195" t="str">
            <v xml:space="preserve">  B. 59.            </v>
          </cell>
          <cell r="E195" t="str">
            <v>CP0307</v>
          </cell>
          <cell r="F195" t="str">
            <v>5.16.</v>
          </cell>
          <cell r="G195" t="str">
            <v xml:space="preserve">Moto-bomba de recalque de lodo  </v>
          </cell>
          <cell r="H195" t="str">
            <v xml:space="preserve">un    </v>
          </cell>
          <cell r="I195">
            <v>4</v>
          </cell>
          <cell r="J195">
            <v>601.46</v>
          </cell>
          <cell r="K195">
            <v>877.18</v>
          </cell>
          <cell r="L195">
            <v>2405.84</v>
          </cell>
        </row>
        <row r="196">
          <cell r="D196" t="str">
            <v xml:space="preserve">  B. 60.            </v>
          </cell>
          <cell r="E196" t="str">
            <v>CP0204</v>
          </cell>
          <cell r="F196" t="str">
            <v>5.17.</v>
          </cell>
          <cell r="G196" t="str">
            <v xml:space="preserve">Misturador submersível para lodo flotado  </v>
          </cell>
          <cell r="H196" t="str">
            <v xml:space="preserve">un    </v>
          </cell>
          <cell r="I196">
            <v>2</v>
          </cell>
          <cell r="J196">
            <v>869.03</v>
          </cell>
          <cell r="K196">
            <v>734.51</v>
          </cell>
          <cell r="L196">
            <v>1738.06</v>
          </cell>
        </row>
        <row r="197">
          <cell r="D197" t="str">
            <v xml:space="preserve">  B. 61.            </v>
          </cell>
          <cell r="E197" t="str">
            <v>CP1612</v>
          </cell>
          <cell r="F197" t="str">
            <v>5.18.</v>
          </cell>
          <cell r="G197" t="str">
            <v xml:space="preserve">Comporta de fibra de vidro  </v>
          </cell>
          <cell r="H197" t="str">
            <v xml:space="preserve">un    </v>
          </cell>
          <cell r="I197">
            <v>2</v>
          </cell>
          <cell r="J197">
            <v>317.82</v>
          </cell>
          <cell r="K197">
            <v>264.95</v>
          </cell>
          <cell r="L197">
            <v>635.64</v>
          </cell>
        </row>
        <row r="198">
          <cell r="D198" t="str">
            <v xml:space="preserve">  B. 62.            </v>
          </cell>
          <cell r="E198" t="str">
            <v xml:space="preserve">      </v>
          </cell>
          <cell r="F198" t="str">
            <v>6.</v>
          </cell>
          <cell r="G198" t="str">
            <v xml:space="preserve">Fornecimento de Equipamentos, Válvulas e Miscelâneas Diversas para Instalações de Processo  </v>
          </cell>
          <cell r="H198" t="str">
            <v xml:space="preserve">      </v>
          </cell>
          <cell r="I198">
            <v>0</v>
          </cell>
          <cell r="J198">
            <v>0</v>
          </cell>
          <cell r="K198">
            <v>0</v>
          </cell>
          <cell r="L198">
            <v>0</v>
          </cell>
        </row>
        <row r="199">
          <cell r="D199" t="str">
            <v xml:space="preserve">  B. 63.            </v>
          </cell>
          <cell r="E199" t="str">
            <v xml:space="preserve">      </v>
          </cell>
          <cell r="F199" t="str">
            <v>6.1.</v>
          </cell>
          <cell r="G199" t="str">
            <v xml:space="preserve">Válvula de diafragma tipo passagem reta, corpo em polipropileno, diafragma em teflon, extremidades flangeadas acionamento manual  </v>
          </cell>
          <cell r="H199" t="str">
            <v xml:space="preserve">      </v>
          </cell>
          <cell r="I199">
            <v>0</v>
          </cell>
          <cell r="J199">
            <v>0</v>
          </cell>
          <cell r="K199">
            <v>0</v>
          </cell>
          <cell r="L199">
            <v>0</v>
          </cell>
        </row>
        <row r="200">
          <cell r="D200" t="str">
            <v xml:space="preserve">  B. 64.            </v>
          </cell>
          <cell r="E200" t="str">
            <v>CP1384</v>
          </cell>
          <cell r="F200" t="str">
            <v>6.1.1.</v>
          </cell>
          <cell r="G200" t="str">
            <v xml:space="preserve">Válvula de diafragma tipo passagem reta, corpo em polipropileno, diafragma em teflon, extremidades flangeadas acionamento manual DN 100  </v>
          </cell>
          <cell r="H200" t="str">
            <v xml:space="preserve">un    </v>
          </cell>
          <cell r="I200">
            <v>2</v>
          </cell>
          <cell r="J200">
            <v>6696.86</v>
          </cell>
          <cell r="K200">
            <v>8574.2000000000007</v>
          </cell>
          <cell r="L200">
            <v>13393.72</v>
          </cell>
        </row>
        <row r="201">
          <cell r="D201" t="str">
            <v xml:space="preserve">  B. 65.            </v>
          </cell>
          <cell r="E201" t="str">
            <v xml:space="preserve">      </v>
          </cell>
          <cell r="F201" t="str">
            <v>6.2.</v>
          </cell>
          <cell r="G201" t="str">
            <v xml:space="preserve">Válvula de esfera em polipropileno c/ flanges, acionamento manual  </v>
          </cell>
          <cell r="H201" t="str">
            <v xml:space="preserve">      </v>
          </cell>
          <cell r="I201">
            <v>0</v>
          </cell>
          <cell r="J201">
            <v>0</v>
          </cell>
          <cell r="K201">
            <v>0</v>
          </cell>
          <cell r="L201">
            <v>0</v>
          </cell>
        </row>
        <row r="202">
          <cell r="D202" t="str">
            <v xml:space="preserve">  B. 66.            </v>
          </cell>
          <cell r="E202" t="str">
            <v>CP1420</v>
          </cell>
          <cell r="F202" t="str">
            <v>6.2.1.</v>
          </cell>
          <cell r="G202" t="str">
            <v xml:space="preserve">Válvula de esfera em polipropileno c/ flanges, acionamento manual DN 150  </v>
          </cell>
          <cell r="H202" t="str">
            <v xml:space="preserve">un    </v>
          </cell>
          <cell r="I202">
            <v>24</v>
          </cell>
          <cell r="J202">
            <v>5737.71</v>
          </cell>
          <cell r="K202">
            <v>7346.16</v>
          </cell>
          <cell r="L202">
            <v>137705.04</v>
          </cell>
        </row>
        <row r="203">
          <cell r="D203" t="str">
            <v xml:space="preserve">  B. 67.            </v>
          </cell>
          <cell r="E203" t="str">
            <v xml:space="preserve">      </v>
          </cell>
          <cell r="F203" t="str">
            <v>6.3.</v>
          </cell>
          <cell r="G203" t="str">
            <v xml:space="preserve">Válvula de esfera em bronze roscável, acionamento manual  </v>
          </cell>
          <cell r="H203" t="str">
            <v xml:space="preserve">      </v>
          </cell>
          <cell r="I203">
            <v>0</v>
          </cell>
          <cell r="J203">
            <v>0</v>
          </cell>
          <cell r="K203">
            <v>0</v>
          </cell>
          <cell r="L203">
            <v>0</v>
          </cell>
        </row>
        <row r="204">
          <cell r="D204" t="str">
            <v xml:space="preserve">  B. 68.            </v>
          </cell>
          <cell r="E204" t="str">
            <v>CP1619</v>
          </cell>
          <cell r="F204" t="str">
            <v>6.3.1.</v>
          </cell>
          <cell r="G204" t="str">
            <v xml:space="preserve">Válvula de esfera em bronze roscável, acionamento manual ø 2  </v>
          </cell>
          <cell r="H204" t="str">
            <v xml:space="preserve">un    </v>
          </cell>
          <cell r="I204">
            <v>16</v>
          </cell>
          <cell r="J204">
            <v>192.02</v>
          </cell>
          <cell r="K204">
            <v>175.47</v>
          </cell>
          <cell r="L204">
            <v>3072.32</v>
          </cell>
        </row>
        <row r="205">
          <cell r="D205" t="str">
            <v xml:space="preserve">  B. 69.            </v>
          </cell>
          <cell r="E205" t="str">
            <v>CP1662</v>
          </cell>
          <cell r="F205" t="str">
            <v>6.3.2.</v>
          </cell>
          <cell r="G205" t="str">
            <v xml:space="preserve">Válvula de esfera em bronze roscável, acionamento manual ø 1 1/2  </v>
          </cell>
          <cell r="H205" t="str">
            <v xml:space="preserve">un    </v>
          </cell>
          <cell r="I205">
            <v>8</v>
          </cell>
          <cell r="J205">
            <v>124.24</v>
          </cell>
          <cell r="K205">
            <v>130.44999999999999</v>
          </cell>
          <cell r="L205">
            <v>993.92</v>
          </cell>
        </row>
        <row r="206">
          <cell r="D206" t="str">
            <v xml:space="preserve">  B. 70.            </v>
          </cell>
          <cell r="E206" t="str">
            <v>CP1679</v>
          </cell>
          <cell r="F206" t="str">
            <v>6.3.3.</v>
          </cell>
          <cell r="G206" t="str">
            <v xml:space="preserve">Válvula de esfera em bronze roscável, acionamento manual ø 1 1/4  </v>
          </cell>
          <cell r="H206" t="str">
            <v xml:space="preserve">un    </v>
          </cell>
          <cell r="I206">
            <v>8</v>
          </cell>
          <cell r="J206">
            <v>110.7</v>
          </cell>
          <cell r="K206">
            <v>127.64</v>
          </cell>
          <cell r="L206">
            <v>885.6</v>
          </cell>
        </row>
        <row r="207">
          <cell r="D207" t="str">
            <v xml:space="preserve">  B. 71.            </v>
          </cell>
          <cell r="E207" t="str">
            <v>CP1750</v>
          </cell>
          <cell r="F207" t="str">
            <v>6.3.4.</v>
          </cell>
          <cell r="G207" t="str">
            <v xml:space="preserve">Válvula de esfera em bronze roscável, acionamento manual ø 3/4  </v>
          </cell>
          <cell r="H207" t="str">
            <v xml:space="preserve">un    </v>
          </cell>
          <cell r="I207">
            <v>32</v>
          </cell>
          <cell r="J207">
            <v>37.89</v>
          </cell>
          <cell r="K207">
            <v>52.06</v>
          </cell>
          <cell r="L207">
            <v>1212.48</v>
          </cell>
        </row>
        <row r="208">
          <cell r="D208" t="str">
            <v xml:space="preserve">  B. 72.            </v>
          </cell>
          <cell r="E208" t="str">
            <v>CP1774</v>
          </cell>
          <cell r="F208" t="str">
            <v>6.3.5.</v>
          </cell>
          <cell r="G208" t="str">
            <v xml:space="preserve">Válvula de esfera em bronze roscável, acionamento manual ø 1/2  </v>
          </cell>
          <cell r="H208" t="str">
            <v xml:space="preserve">un    </v>
          </cell>
          <cell r="I208">
            <v>16</v>
          </cell>
          <cell r="J208">
            <v>25.24</v>
          </cell>
          <cell r="K208">
            <v>21.15</v>
          </cell>
          <cell r="L208">
            <v>403.84</v>
          </cell>
        </row>
        <row r="209">
          <cell r="D209" t="str">
            <v xml:space="preserve">  B. 73.            </v>
          </cell>
          <cell r="E209" t="str">
            <v xml:space="preserve">      </v>
          </cell>
          <cell r="F209" t="str">
            <v>6.4.</v>
          </cell>
          <cell r="G209" t="str">
            <v xml:space="preserve">Válvula de esfera em prolipropileno roscável  </v>
          </cell>
          <cell r="H209" t="str">
            <v xml:space="preserve">      </v>
          </cell>
          <cell r="I209">
            <v>0</v>
          </cell>
          <cell r="J209">
            <v>0</v>
          </cell>
          <cell r="K209">
            <v>0</v>
          </cell>
          <cell r="L209">
            <v>0</v>
          </cell>
        </row>
        <row r="210">
          <cell r="D210" t="str">
            <v xml:space="preserve">  B. 74.            </v>
          </cell>
          <cell r="E210" t="str">
            <v>CP1492</v>
          </cell>
          <cell r="F210" t="str">
            <v>6.4.1.</v>
          </cell>
          <cell r="G210" t="str">
            <v xml:space="preserve">Válvula de esfera em prolipropileno roscável ø2 1/2  </v>
          </cell>
          <cell r="H210" t="str">
            <v xml:space="preserve">un    </v>
          </cell>
          <cell r="I210">
            <v>8</v>
          </cell>
          <cell r="J210">
            <v>630.24</v>
          </cell>
          <cell r="K210">
            <v>537.37</v>
          </cell>
          <cell r="L210">
            <v>5041.92</v>
          </cell>
        </row>
        <row r="211">
          <cell r="D211" t="str">
            <v xml:space="preserve">  B. 75.            </v>
          </cell>
          <cell r="E211" t="str">
            <v xml:space="preserve">      </v>
          </cell>
          <cell r="F211" t="str">
            <v>6.5.</v>
          </cell>
          <cell r="G211" t="str">
            <v xml:space="preserve">Válvula solenóide em latão de duas vias  </v>
          </cell>
          <cell r="H211" t="str">
            <v xml:space="preserve">      </v>
          </cell>
          <cell r="I211">
            <v>0</v>
          </cell>
          <cell r="J211">
            <v>0</v>
          </cell>
          <cell r="K211">
            <v>0</v>
          </cell>
          <cell r="L211">
            <v>0</v>
          </cell>
        </row>
        <row r="212">
          <cell r="D212" t="str">
            <v xml:space="preserve">  B. 76.            </v>
          </cell>
          <cell r="E212" t="str">
            <v>CP1567</v>
          </cell>
          <cell r="F212" t="str">
            <v>6.5.1.</v>
          </cell>
          <cell r="G212" t="str">
            <v xml:space="preserve">Válvula solenóide em latão de duas vias ø 1/2  </v>
          </cell>
          <cell r="H212" t="str">
            <v xml:space="preserve">un    </v>
          </cell>
          <cell r="I212">
            <v>8</v>
          </cell>
          <cell r="J212">
            <v>586.16999999999996</v>
          </cell>
          <cell r="K212">
            <v>491.75</v>
          </cell>
          <cell r="L212">
            <v>4689.3599999999997</v>
          </cell>
        </row>
        <row r="213">
          <cell r="D213" t="str">
            <v xml:space="preserve">  B. 77.            </v>
          </cell>
          <cell r="E213" t="str">
            <v xml:space="preserve">      </v>
          </cell>
          <cell r="F213" t="str">
            <v>6.6.</v>
          </cell>
          <cell r="G213" t="str">
            <v xml:space="preserve">Válvula de retenção em bronze roscável  </v>
          </cell>
          <cell r="H213" t="str">
            <v xml:space="preserve">      </v>
          </cell>
          <cell r="I213">
            <v>0</v>
          </cell>
          <cell r="J213">
            <v>0</v>
          </cell>
          <cell r="K213">
            <v>0</v>
          </cell>
          <cell r="L213">
            <v>0</v>
          </cell>
        </row>
        <row r="214">
          <cell r="D214" t="str">
            <v xml:space="preserve">  B. 78.            </v>
          </cell>
          <cell r="E214" t="str">
            <v>CP1702</v>
          </cell>
          <cell r="F214" t="str">
            <v>6.6.1.</v>
          </cell>
          <cell r="G214" t="str">
            <v xml:space="preserve">Válvula de retenção em bronze roscável ø 1 1/4  </v>
          </cell>
          <cell r="H214" t="str">
            <v xml:space="preserve">un    </v>
          </cell>
          <cell r="I214">
            <v>8</v>
          </cell>
          <cell r="J214">
            <v>111.82</v>
          </cell>
          <cell r="K214">
            <v>97.63</v>
          </cell>
          <cell r="L214">
            <v>894.56</v>
          </cell>
        </row>
        <row r="215">
          <cell r="D215" t="str">
            <v xml:space="preserve">  B. 79.            </v>
          </cell>
          <cell r="E215" t="str">
            <v>CP1789</v>
          </cell>
          <cell r="F215" t="str">
            <v>6.6.2.</v>
          </cell>
          <cell r="G215" t="str">
            <v xml:space="preserve">Válvula de retenção em bronze roscável ø 3/4  </v>
          </cell>
          <cell r="H215" t="str">
            <v xml:space="preserve">ün    </v>
          </cell>
          <cell r="I215">
            <v>16</v>
          </cell>
          <cell r="J215">
            <v>57.18</v>
          </cell>
          <cell r="K215">
            <v>47.91</v>
          </cell>
          <cell r="L215">
            <v>914.88</v>
          </cell>
        </row>
        <row r="216">
          <cell r="D216" t="str">
            <v xml:space="preserve">  B. 80.            </v>
          </cell>
          <cell r="E216" t="str">
            <v>CP1757</v>
          </cell>
          <cell r="F216" t="str">
            <v>6.7.</v>
          </cell>
          <cell r="G216" t="str">
            <v xml:space="preserve">Registro de gaveta em bronze ø 1/2, roscável  </v>
          </cell>
          <cell r="H216" t="str">
            <v xml:space="preserve">un    </v>
          </cell>
          <cell r="I216">
            <v>8</v>
          </cell>
          <cell r="J216">
            <v>33.270000000000003</v>
          </cell>
          <cell r="K216">
            <v>27.76</v>
          </cell>
          <cell r="L216">
            <v>266.16000000000003</v>
          </cell>
        </row>
        <row r="217">
          <cell r="D217" t="str">
            <v xml:space="preserve">  B. 81.            </v>
          </cell>
          <cell r="E217" t="str">
            <v>CP1736</v>
          </cell>
          <cell r="F217" t="str">
            <v>6.8.</v>
          </cell>
          <cell r="G217" t="str">
            <v xml:space="preserve">Válvula de alívio em bronze ø 3/4, roscável  </v>
          </cell>
          <cell r="H217" t="str">
            <v xml:space="preserve">un    </v>
          </cell>
          <cell r="I217">
            <v>8</v>
          </cell>
          <cell r="J217">
            <v>180.71</v>
          </cell>
          <cell r="K217">
            <v>231.37</v>
          </cell>
          <cell r="L217">
            <v>1445.68</v>
          </cell>
        </row>
        <row r="218">
          <cell r="D218" t="str">
            <v xml:space="preserve">  B. 82.            </v>
          </cell>
          <cell r="E218" t="str">
            <v>CP1611</v>
          </cell>
          <cell r="F218" t="str">
            <v>6.9.</v>
          </cell>
          <cell r="G218" t="str">
            <v xml:space="preserve">Válvula de segurança em bronze ø 2, roscável  </v>
          </cell>
          <cell r="H218" t="str">
            <v xml:space="preserve">un    </v>
          </cell>
          <cell r="I218">
            <v>8</v>
          </cell>
          <cell r="J218">
            <v>373.77</v>
          </cell>
          <cell r="K218">
            <v>313.97000000000003</v>
          </cell>
          <cell r="L218">
            <v>2990.16</v>
          </cell>
        </row>
        <row r="219">
          <cell r="D219" t="str">
            <v xml:space="preserve">  B. 83.            </v>
          </cell>
          <cell r="E219" t="str">
            <v>CP1639</v>
          </cell>
          <cell r="F219" t="str">
            <v>6.10.</v>
          </cell>
          <cell r="G219" t="str">
            <v xml:space="preserve">Regulador de pressão ø 3/4 mod. Standard da NORGREN, ou 07R418AC da Parker, ou similar  </v>
          </cell>
          <cell r="H219" t="str">
            <v xml:space="preserve">un    </v>
          </cell>
          <cell r="I219">
            <v>8</v>
          </cell>
          <cell r="J219">
            <v>465.82</v>
          </cell>
          <cell r="K219">
            <v>389.47</v>
          </cell>
          <cell r="L219">
            <v>3726.56</v>
          </cell>
        </row>
        <row r="220">
          <cell r="D220" t="str">
            <v xml:space="preserve">  B. 84.            </v>
          </cell>
          <cell r="E220" t="str">
            <v>CP1557</v>
          </cell>
          <cell r="F220" t="str">
            <v>6.11.</v>
          </cell>
          <cell r="G220" t="str">
            <v xml:space="preserve">Filtro removedor de óleo automático ø 3/4 da NORGREN, ou Filtro coalescente grau 06 3535--2000F06 da Parker, ou similar  </v>
          </cell>
          <cell r="H220" t="str">
            <v xml:space="preserve">un    </v>
          </cell>
          <cell r="I220">
            <v>8</v>
          </cell>
          <cell r="J220">
            <v>1192.6199999999999</v>
          </cell>
          <cell r="K220">
            <v>996.21</v>
          </cell>
          <cell r="L220">
            <v>9540.9599999999991</v>
          </cell>
        </row>
        <row r="221">
          <cell r="D221" t="str">
            <v xml:space="preserve">  B. 85.            </v>
          </cell>
          <cell r="E221" t="str">
            <v>CP1458</v>
          </cell>
          <cell r="F221" t="str">
            <v>6.12.</v>
          </cell>
          <cell r="G221" t="str">
            <v xml:space="preserve">Rotâmetro p/ ar c/ rosca ø 1/2 capacidade de 1500 a 15000 l/h mod. 420 CONAUT ou similar  </v>
          </cell>
          <cell r="H221" t="str">
            <v xml:space="preserve">un    </v>
          </cell>
          <cell r="I221">
            <v>8</v>
          </cell>
          <cell r="J221">
            <v>1242.42</v>
          </cell>
          <cell r="K221">
            <v>1590.71</v>
          </cell>
          <cell r="L221">
            <v>9939.36</v>
          </cell>
        </row>
        <row r="222">
          <cell r="D222" t="str">
            <v xml:space="preserve">  B. 86.            </v>
          </cell>
          <cell r="E222" t="str">
            <v>CP1640</v>
          </cell>
          <cell r="F222" t="str">
            <v>6.13.</v>
          </cell>
          <cell r="G222" t="str">
            <v xml:space="preserve">Manômetro com escala de 0 a 10 bar, diâmetro do mostrador 100 mm  </v>
          </cell>
          <cell r="H222" t="str">
            <v xml:space="preserve">un    </v>
          </cell>
          <cell r="I222">
            <v>8</v>
          </cell>
          <cell r="J222">
            <v>125.11</v>
          </cell>
          <cell r="K222">
            <v>104.49</v>
          </cell>
          <cell r="L222">
            <v>1000.88</v>
          </cell>
        </row>
        <row r="223">
          <cell r="D223" t="str">
            <v xml:space="preserve">  B. 87.            </v>
          </cell>
          <cell r="E223" t="str">
            <v>CP1774</v>
          </cell>
          <cell r="F223" t="str">
            <v>6.14.</v>
          </cell>
          <cell r="G223" t="str">
            <v xml:space="preserve">Válvula de esfera em latão ø 1/2 roscável  </v>
          </cell>
          <cell r="H223" t="str">
            <v xml:space="preserve">un    </v>
          </cell>
          <cell r="I223">
            <v>40</v>
          </cell>
          <cell r="J223">
            <v>25.24</v>
          </cell>
          <cell r="K223">
            <v>27.71</v>
          </cell>
          <cell r="L223">
            <v>1009.6</v>
          </cell>
        </row>
        <row r="224">
          <cell r="D224" t="str">
            <v xml:space="preserve">  B. 88.            </v>
          </cell>
          <cell r="E224" t="str">
            <v>CP1564</v>
          </cell>
          <cell r="F224" t="str">
            <v>6.15.</v>
          </cell>
          <cell r="G224" t="str">
            <v xml:space="preserve">Válvula duplo solenóide 5/2 vias ø 1/4, 220 V - 60 Hz, pressão de trabalho até 7 bar  </v>
          </cell>
          <cell r="H224" t="str">
            <v xml:space="preserve">un    </v>
          </cell>
          <cell r="I224">
            <v>40</v>
          </cell>
          <cell r="J224">
            <v>535.92999999999995</v>
          </cell>
          <cell r="K224">
            <v>446.98</v>
          </cell>
          <cell r="L224">
            <v>21437.200000000001</v>
          </cell>
        </row>
        <row r="225">
          <cell r="D225" t="str">
            <v xml:space="preserve">  B. 89.            </v>
          </cell>
          <cell r="E225" t="str">
            <v>CP2021</v>
          </cell>
          <cell r="F225" t="str">
            <v>6.16.</v>
          </cell>
          <cell r="G225" t="str">
            <v xml:space="preserve">Adaptador macho/fêmea em latão ø 1/2 x 1/4  </v>
          </cell>
          <cell r="H225" t="str">
            <v xml:space="preserve">un    </v>
          </cell>
          <cell r="I225">
            <v>40</v>
          </cell>
          <cell r="J225">
            <v>13.69</v>
          </cell>
          <cell r="K225">
            <v>11.48</v>
          </cell>
          <cell r="L225">
            <v>547.6</v>
          </cell>
        </row>
        <row r="226">
          <cell r="D226" t="str">
            <v xml:space="preserve">  B. 90.            </v>
          </cell>
          <cell r="E226" t="str">
            <v>CP0628</v>
          </cell>
          <cell r="F226" t="str">
            <v>6.17.</v>
          </cell>
          <cell r="G226" t="str">
            <v xml:space="preserve">Conector macho em latão ø 3/8 x 1/4  </v>
          </cell>
          <cell r="H226" t="str">
            <v xml:space="preserve">un    </v>
          </cell>
          <cell r="I226">
            <v>240</v>
          </cell>
          <cell r="J226">
            <v>24.92</v>
          </cell>
          <cell r="K226">
            <v>20.92</v>
          </cell>
          <cell r="L226">
            <v>5980.8</v>
          </cell>
        </row>
        <row r="227">
          <cell r="D227" t="str">
            <v xml:space="preserve">  B. 91.            </v>
          </cell>
          <cell r="E227" t="str">
            <v>CP2005</v>
          </cell>
          <cell r="F227" t="str">
            <v>6.18.</v>
          </cell>
          <cell r="G227" t="str">
            <v xml:space="preserve">Tubo de nylon preto ø 3/8  </v>
          </cell>
          <cell r="H227" t="str">
            <v xml:space="preserve">m     </v>
          </cell>
          <cell r="I227">
            <v>120</v>
          </cell>
          <cell r="J227">
            <v>13.55</v>
          </cell>
          <cell r="K227">
            <v>17.350000000000001</v>
          </cell>
          <cell r="L227">
            <v>1626</v>
          </cell>
        </row>
        <row r="228">
          <cell r="D228" t="str">
            <v xml:space="preserve">  B. 92.            </v>
          </cell>
          <cell r="E228" t="str">
            <v>CP1353</v>
          </cell>
          <cell r="F228" t="str">
            <v>6.19.</v>
          </cell>
          <cell r="G228" t="str">
            <v xml:space="preserve">Calha semi-circular em fibra de vidro, DN 300  </v>
          </cell>
          <cell r="H228" t="str">
            <v xml:space="preserve">un    </v>
          </cell>
          <cell r="I228">
            <v>1</v>
          </cell>
          <cell r="J228">
            <v>4969.66</v>
          </cell>
          <cell r="K228">
            <v>6362.83</v>
          </cell>
          <cell r="L228">
            <v>4969.66</v>
          </cell>
        </row>
        <row r="229">
          <cell r="D229" t="str">
            <v xml:space="preserve">  B. 93.            </v>
          </cell>
          <cell r="E229" t="str">
            <v>CP1577</v>
          </cell>
          <cell r="F229" t="str">
            <v>6.20.</v>
          </cell>
          <cell r="G229" t="str">
            <v xml:space="preserve">Conjunto filtro regulador e lubrificador com manômetro e suporte ø 1/2  </v>
          </cell>
          <cell r="H229" t="str">
            <v xml:space="preserve">un    </v>
          </cell>
          <cell r="I229">
            <v>1</v>
          </cell>
          <cell r="J229">
            <v>906.83</v>
          </cell>
          <cell r="K229">
            <v>1295.47</v>
          </cell>
          <cell r="L229">
            <v>906.83</v>
          </cell>
        </row>
        <row r="230">
          <cell r="D230" t="str">
            <v xml:space="preserve">  B. 94.            </v>
          </cell>
          <cell r="E230" t="str">
            <v>CP1296</v>
          </cell>
          <cell r="F230" t="str">
            <v>6.21.</v>
          </cell>
          <cell r="G230" t="str">
            <v xml:space="preserve">Válvula de retenção, DN 150, com flanges, aço inox  </v>
          </cell>
          <cell r="H230" t="str">
            <v xml:space="preserve">un    </v>
          </cell>
          <cell r="I230">
            <v>8</v>
          </cell>
          <cell r="J230">
            <v>13375.87</v>
          </cell>
          <cell r="K230">
            <v>19108.39</v>
          </cell>
          <cell r="L230">
            <v>107006.96</v>
          </cell>
        </row>
        <row r="231">
          <cell r="D231" t="str">
            <v xml:space="preserve">  B. 95.            </v>
          </cell>
          <cell r="E231" t="str">
            <v>CP1576</v>
          </cell>
          <cell r="F231" t="str">
            <v>6.22.</v>
          </cell>
          <cell r="G231" t="str">
            <v xml:space="preserve">Válvula solenóide em bronze de duas vias ø 3/4  </v>
          </cell>
          <cell r="H231" t="str">
            <v xml:space="preserve">un    </v>
          </cell>
          <cell r="I231">
            <v>8</v>
          </cell>
          <cell r="J231">
            <v>616.54</v>
          </cell>
          <cell r="K231">
            <v>515.61</v>
          </cell>
          <cell r="L231">
            <v>4932.32</v>
          </cell>
        </row>
        <row r="232">
          <cell r="D232" t="str">
            <v xml:space="preserve">  B. 96.            </v>
          </cell>
          <cell r="E232" t="str">
            <v>CP1744</v>
          </cell>
          <cell r="F232" t="str">
            <v>6.23.</v>
          </cell>
          <cell r="G232" t="str">
            <v xml:space="preserve">Válvula de agulha de bronze c/ rosca ø 1/2  </v>
          </cell>
          <cell r="H232" t="str">
            <v xml:space="preserve">un    </v>
          </cell>
          <cell r="I232">
            <v>16</v>
          </cell>
          <cell r="J232">
            <v>48.29</v>
          </cell>
          <cell r="K232">
            <v>56.35</v>
          </cell>
          <cell r="L232">
            <v>772.64</v>
          </cell>
        </row>
        <row r="233">
          <cell r="D233" t="str">
            <v xml:space="preserve">  B. 97.            </v>
          </cell>
          <cell r="E233" t="str">
            <v>CP1737</v>
          </cell>
          <cell r="F233" t="str">
            <v>6.24.</v>
          </cell>
          <cell r="G233" t="str">
            <v xml:space="preserve">Válvula de esfera em bronze c/ rosca fêmea ø 1  </v>
          </cell>
          <cell r="H233" t="str">
            <v xml:space="preserve">un    </v>
          </cell>
          <cell r="I233">
            <v>32</v>
          </cell>
          <cell r="J233">
            <v>92.78</v>
          </cell>
          <cell r="K233">
            <v>77.739999999999995</v>
          </cell>
          <cell r="L233">
            <v>2968.96</v>
          </cell>
        </row>
        <row r="234">
          <cell r="D234" t="str">
            <v xml:space="preserve">  B. 98.            </v>
          </cell>
          <cell r="E234" t="str">
            <v>CP1395</v>
          </cell>
          <cell r="F234" t="str">
            <v>6.25.</v>
          </cell>
          <cell r="G234" t="str">
            <v xml:space="preserve">Chave de nível mod. 07 R CONAUT ou similar  </v>
          </cell>
          <cell r="H234" t="str">
            <v xml:space="preserve">un    </v>
          </cell>
          <cell r="I234">
            <v>8</v>
          </cell>
          <cell r="J234">
            <v>7555.11</v>
          </cell>
          <cell r="K234">
            <v>10640.36</v>
          </cell>
          <cell r="L234">
            <v>60440.88</v>
          </cell>
        </row>
        <row r="235">
          <cell r="D235" t="str">
            <v xml:space="preserve">  B. 99.            </v>
          </cell>
          <cell r="E235" t="str">
            <v>CP0625</v>
          </cell>
          <cell r="F235" t="str">
            <v>6.26.</v>
          </cell>
          <cell r="G235" t="str">
            <v xml:space="preserve">Visor de nível mod. 050 CONAUT com conexões em rosca  </v>
          </cell>
          <cell r="H235" t="str">
            <v xml:space="preserve">un    </v>
          </cell>
          <cell r="I235">
            <v>8</v>
          </cell>
          <cell r="J235">
            <v>8717.43</v>
          </cell>
          <cell r="K235">
            <v>12277.34</v>
          </cell>
          <cell r="L235">
            <v>69739.44</v>
          </cell>
        </row>
        <row r="236">
          <cell r="D236" t="str">
            <v xml:space="preserve">  B.100.            </v>
          </cell>
          <cell r="E236" t="str">
            <v xml:space="preserve">      </v>
          </cell>
          <cell r="F236" t="str">
            <v>7.</v>
          </cell>
          <cell r="G236" t="str">
            <v xml:space="preserve">Montagem de Equipamentos, Válvulas e Miscelâneas Diversas para Instalações de Processo  </v>
          </cell>
          <cell r="H236" t="str">
            <v xml:space="preserve">      </v>
          </cell>
          <cell r="I236">
            <v>0</v>
          </cell>
          <cell r="J236">
            <v>0</v>
          </cell>
          <cell r="K236">
            <v>0</v>
          </cell>
          <cell r="L236">
            <v>0</v>
          </cell>
        </row>
        <row r="237">
          <cell r="D237" t="str">
            <v xml:space="preserve">  B.101.            </v>
          </cell>
          <cell r="E237" t="str">
            <v xml:space="preserve">      </v>
          </cell>
          <cell r="F237" t="str">
            <v>7.1.</v>
          </cell>
          <cell r="G237" t="str">
            <v xml:space="preserve">Válvula de diafragma tipo passagem reta, corpo em polipropileno, diafragma em teflon, extremidades flangeadas acionamento manual  </v>
          </cell>
          <cell r="H237" t="str">
            <v xml:space="preserve">      </v>
          </cell>
          <cell r="I237">
            <v>0</v>
          </cell>
          <cell r="J237">
            <v>0</v>
          </cell>
          <cell r="K237">
            <v>0</v>
          </cell>
          <cell r="L237">
            <v>0</v>
          </cell>
        </row>
        <row r="238">
          <cell r="D238" t="str">
            <v xml:space="preserve">  B.102.            </v>
          </cell>
          <cell r="E238" t="str">
            <v>CP0454</v>
          </cell>
          <cell r="F238" t="str">
            <v>7.1.1.</v>
          </cell>
          <cell r="G238" t="str">
            <v xml:space="preserve">Válvula de diafragma tipo passagem reta, corpo em polipropileno, diafragma em teflon, extremidades flangeadas acionamento manual DN 100  </v>
          </cell>
          <cell r="H238" t="str">
            <v xml:space="preserve">un    </v>
          </cell>
          <cell r="I238">
            <v>2</v>
          </cell>
          <cell r="J238">
            <v>77.459999999999994</v>
          </cell>
          <cell r="K238">
            <v>91.7</v>
          </cell>
          <cell r="L238">
            <v>154.91999999999999</v>
          </cell>
        </row>
        <row r="239">
          <cell r="D239" t="str">
            <v xml:space="preserve">  B.103.            </v>
          </cell>
          <cell r="E239" t="str">
            <v xml:space="preserve">      </v>
          </cell>
          <cell r="F239" t="str">
            <v>7.2.</v>
          </cell>
          <cell r="G239" t="str">
            <v xml:space="preserve">Válvula de esfera em polipropileno c/ flanges, acionamento manual  </v>
          </cell>
          <cell r="H239" t="str">
            <v xml:space="preserve">      </v>
          </cell>
          <cell r="I239">
            <v>0</v>
          </cell>
          <cell r="J239">
            <v>0</v>
          </cell>
          <cell r="K239">
            <v>0</v>
          </cell>
          <cell r="L239">
            <v>0</v>
          </cell>
        </row>
        <row r="240">
          <cell r="D240" t="str">
            <v xml:space="preserve">  B.104.            </v>
          </cell>
          <cell r="E240" t="str">
            <v>CP0470</v>
          </cell>
          <cell r="F240" t="str">
            <v>7.2.1.</v>
          </cell>
          <cell r="G240" t="str">
            <v xml:space="preserve">Válvula de esfera em polipropileno c/ flanges, acionamento manual DN 150  </v>
          </cell>
          <cell r="H240" t="str">
            <v xml:space="preserve">un    </v>
          </cell>
          <cell r="I240">
            <v>24</v>
          </cell>
          <cell r="J240">
            <v>87.62</v>
          </cell>
          <cell r="K240">
            <v>73.150000000000006</v>
          </cell>
          <cell r="L240">
            <v>2102.88</v>
          </cell>
        </row>
        <row r="241">
          <cell r="D241" t="str">
            <v xml:space="preserve">  B.105.            </v>
          </cell>
          <cell r="E241" t="str">
            <v xml:space="preserve">      </v>
          </cell>
          <cell r="F241" t="str">
            <v>7.3.</v>
          </cell>
          <cell r="G241" t="str">
            <v xml:space="preserve">Válvula de esfera em bronze roscável, acionamento manual  </v>
          </cell>
          <cell r="H241" t="str">
            <v xml:space="preserve">      </v>
          </cell>
          <cell r="I241">
            <v>0</v>
          </cell>
          <cell r="J241">
            <v>0</v>
          </cell>
          <cell r="K241">
            <v>0</v>
          </cell>
          <cell r="L241">
            <v>0</v>
          </cell>
        </row>
        <row r="242">
          <cell r="D242" t="str">
            <v xml:space="preserve">  B.106.            </v>
          </cell>
          <cell r="E242" t="str">
            <v>CP0240</v>
          </cell>
          <cell r="F242" t="str">
            <v>7.3.1.</v>
          </cell>
          <cell r="G242" t="str">
            <v xml:space="preserve">Válvula de esfera em bronze roscável, acionamento manual ø 2  </v>
          </cell>
          <cell r="H242" t="str">
            <v xml:space="preserve">un    </v>
          </cell>
          <cell r="I242">
            <v>16</v>
          </cell>
          <cell r="J242">
            <v>21.2</v>
          </cell>
          <cell r="K242">
            <v>19.32</v>
          </cell>
          <cell r="L242">
            <v>339.2</v>
          </cell>
        </row>
        <row r="243">
          <cell r="D243" t="str">
            <v xml:space="preserve">  B.107.            </v>
          </cell>
          <cell r="E243" t="str">
            <v>CP0241</v>
          </cell>
          <cell r="F243" t="str">
            <v>7.3.2.</v>
          </cell>
          <cell r="G243" t="str">
            <v xml:space="preserve">Válvula de esfera em bronze roscável, acionamento manual ø 1 1/2  </v>
          </cell>
          <cell r="H243" t="str">
            <v xml:space="preserve">un    </v>
          </cell>
          <cell r="I243">
            <v>8</v>
          </cell>
          <cell r="J243">
            <v>22.66</v>
          </cell>
          <cell r="K243">
            <v>19</v>
          </cell>
          <cell r="L243">
            <v>181.28</v>
          </cell>
        </row>
        <row r="244">
          <cell r="D244" t="str">
            <v xml:space="preserve">  B.108.            </v>
          </cell>
          <cell r="E244" t="str">
            <v>CP0412</v>
          </cell>
          <cell r="F244" t="str">
            <v>7.3.3.</v>
          </cell>
          <cell r="G244" t="str">
            <v xml:space="preserve">Válvula de esfera em bronze roscável, acionamento manual ø 1 1/4  </v>
          </cell>
          <cell r="H244" t="str">
            <v xml:space="preserve">un    </v>
          </cell>
          <cell r="I244">
            <v>8</v>
          </cell>
          <cell r="J244">
            <v>20.97</v>
          </cell>
          <cell r="K244">
            <v>17.54</v>
          </cell>
          <cell r="L244">
            <v>167.76</v>
          </cell>
        </row>
        <row r="245">
          <cell r="D245" t="str">
            <v xml:space="preserve">  B.109.            </v>
          </cell>
          <cell r="E245" t="str">
            <v>CP0376</v>
          </cell>
          <cell r="F245" t="str">
            <v>7.3.4.</v>
          </cell>
          <cell r="G245" t="str">
            <v xml:space="preserve">Válvula de esfera em bronze roscável, acionamento manual ø 3/4  </v>
          </cell>
          <cell r="H245" t="str">
            <v xml:space="preserve">un    </v>
          </cell>
          <cell r="I245">
            <v>32</v>
          </cell>
          <cell r="J245">
            <v>18.22</v>
          </cell>
          <cell r="K245">
            <v>15.73</v>
          </cell>
          <cell r="L245">
            <v>583.04</v>
          </cell>
        </row>
        <row r="246">
          <cell r="D246" t="str">
            <v xml:space="preserve">  B.110.            </v>
          </cell>
          <cell r="E246" t="str">
            <v>CP0376</v>
          </cell>
          <cell r="F246" t="str">
            <v>7.3.5.</v>
          </cell>
          <cell r="G246" t="str">
            <v xml:space="preserve">Válvula de esfera em bronze roscável, acionamento manual ø 1/2  </v>
          </cell>
          <cell r="H246" t="str">
            <v xml:space="preserve">un    </v>
          </cell>
          <cell r="I246">
            <v>16</v>
          </cell>
          <cell r="J246">
            <v>18.22</v>
          </cell>
          <cell r="K246">
            <v>15.29</v>
          </cell>
          <cell r="L246">
            <v>291.52</v>
          </cell>
        </row>
        <row r="247">
          <cell r="D247" t="str">
            <v xml:space="preserve">  B.111.            </v>
          </cell>
          <cell r="E247" t="str">
            <v xml:space="preserve">      </v>
          </cell>
          <cell r="F247" t="str">
            <v>7.4.</v>
          </cell>
          <cell r="G247" t="str">
            <v xml:space="preserve">Válvula de esfera em prolipropileno roscável  </v>
          </cell>
          <cell r="H247" t="str">
            <v xml:space="preserve">      </v>
          </cell>
          <cell r="I247">
            <v>0</v>
          </cell>
          <cell r="J247">
            <v>0</v>
          </cell>
          <cell r="K247">
            <v>0</v>
          </cell>
          <cell r="L247">
            <v>0</v>
          </cell>
        </row>
        <row r="248">
          <cell r="D248" t="str">
            <v xml:space="preserve">  B.112.            </v>
          </cell>
          <cell r="E248" t="str">
            <v>CP4610</v>
          </cell>
          <cell r="F248" t="str">
            <v>7.4.1.</v>
          </cell>
          <cell r="G248" t="str">
            <v xml:space="preserve">Válvula de esfera em prolipropileno roscável ø 2 1/2  </v>
          </cell>
          <cell r="H248" t="str">
            <v xml:space="preserve">un    </v>
          </cell>
          <cell r="I248">
            <v>8</v>
          </cell>
          <cell r="J248">
            <v>64.040000000000006</v>
          </cell>
          <cell r="K248">
            <v>53.8</v>
          </cell>
          <cell r="L248">
            <v>512.32000000000005</v>
          </cell>
        </row>
        <row r="249">
          <cell r="D249" t="str">
            <v xml:space="preserve">  B.113.            </v>
          </cell>
          <cell r="E249" t="str">
            <v xml:space="preserve">      </v>
          </cell>
          <cell r="F249" t="str">
            <v>7.5.</v>
          </cell>
          <cell r="G249" t="str">
            <v xml:space="preserve">Válvula solenóide em latão de duas vias  </v>
          </cell>
          <cell r="H249" t="str">
            <v xml:space="preserve">      </v>
          </cell>
          <cell r="I249">
            <v>0</v>
          </cell>
          <cell r="J249">
            <v>0</v>
          </cell>
          <cell r="K249">
            <v>0</v>
          </cell>
          <cell r="L249">
            <v>0</v>
          </cell>
        </row>
        <row r="250">
          <cell r="D250" t="str">
            <v xml:space="preserve">  B.114.            </v>
          </cell>
          <cell r="E250" t="str">
            <v>CP0376</v>
          </cell>
          <cell r="F250" t="str">
            <v>7.5.1.</v>
          </cell>
          <cell r="G250" t="str">
            <v xml:space="preserve">Válvula solenóide em latão de duas vias ø 1/2  </v>
          </cell>
          <cell r="H250" t="str">
            <v xml:space="preserve">un    </v>
          </cell>
          <cell r="I250">
            <v>8</v>
          </cell>
          <cell r="J250">
            <v>18.22</v>
          </cell>
          <cell r="K250">
            <v>97.97</v>
          </cell>
          <cell r="L250">
            <v>145.76</v>
          </cell>
        </row>
        <row r="251">
          <cell r="D251" t="str">
            <v xml:space="preserve">  B.115.            </v>
          </cell>
          <cell r="E251" t="str">
            <v xml:space="preserve">      </v>
          </cell>
          <cell r="F251" t="str">
            <v>7.6.</v>
          </cell>
          <cell r="G251" t="str">
            <v xml:space="preserve">Válvula de retenção em bronze roscável  </v>
          </cell>
          <cell r="H251" t="str">
            <v xml:space="preserve">      </v>
          </cell>
          <cell r="I251">
            <v>0</v>
          </cell>
          <cell r="J251">
            <v>0</v>
          </cell>
          <cell r="K251">
            <v>0</v>
          </cell>
          <cell r="L251">
            <v>0</v>
          </cell>
        </row>
        <row r="252">
          <cell r="D252" t="str">
            <v xml:space="preserve">  B.116.            </v>
          </cell>
          <cell r="E252" t="str">
            <v>CP0412</v>
          </cell>
          <cell r="F252" t="str">
            <v>7.6.1.</v>
          </cell>
          <cell r="G252" t="str">
            <v xml:space="preserve">Válvula de retenção em bronze roscável ø 1 1/4  </v>
          </cell>
          <cell r="H252" t="str">
            <v xml:space="preserve">un    </v>
          </cell>
          <cell r="I252">
            <v>8</v>
          </cell>
          <cell r="J252">
            <v>20.97</v>
          </cell>
          <cell r="K252">
            <v>54.55</v>
          </cell>
          <cell r="L252">
            <v>167.76</v>
          </cell>
        </row>
        <row r="253">
          <cell r="D253" t="str">
            <v xml:space="preserve">  B.117.            </v>
          </cell>
          <cell r="E253" t="str">
            <v>CP0376</v>
          </cell>
          <cell r="F253" t="str">
            <v>7.6.2.</v>
          </cell>
          <cell r="G253" t="str">
            <v xml:space="preserve">Válvula de retenção em bronze roscável ø 3/4  </v>
          </cell>
          <cell r="H253" t="str">
            <v xml:space="preserve">ün    </v>
          </cell>
          <cell r="I253">
            <v>16</v>
          </cell>
          <cell r="J253">
            <v>18.22</v>
          </cell>
          <cell r="K253">
            <v>49.58</v>
          </cell>
          <cell r="L253">
            <v>291.52</v>
          </cell>
        </row>
        <row r="254">
          <cell r="D254" t="str">
            <v xml:space="preserve">  B.118.            </v>
          </cell>
          <cell r="E254" t="str">
            <v>CP0376</v>
          </cell>
          <cell r="F254" t="str">
            <v>7.7.</v>
          </cell>
          <cell r="G254" t="str">
            <v xml:space="preserve">Registro de gaveta em bronze ø 1/2, roscável  </v>
          </cell>
          <cell r="H254" t="str">
            <v xml:space="preserve">un    </v>
          </cell>
          <cell r="I254">
            <v>8</v>
          </cell>
          <cell r="J254">
            <v>18.22</v>
          </cell>
          <cell r="K254">
            <v>44.07</v>
          </cell>
          <cell r="L254">
            <v>145.76</v>
          </cell>
        </row>
        <row r="255">
          <cell r="D255" t="str">
            <v xml:space="preserve">  B.119.            </v>
          </cell>
          <cell r="E255" t="str">
            <v>CP0376</v>
          </cell>
          <cell r="F255" t="str">
            <v>7.8.</v>
          </cell>
          <cell r="G255" t="str">
            <v xml:space="preserve">Válvula de alívio em bronze ø 3/4, roscável  </v>
          </cell>
          <cell r="H255" t="str">
            <v xml:space="preserve">un    </v>
          </cell>
          <cell r="I255">
            <v>8</v>
          </cell>
          <cell r="J255">
            <v>18.22</v>
          </cell>
          <cell r="K255">
            <v>44.07</v>
          </cell>
          <cell r="L255">
            <v>145.76</v>
          </cell>
        </row>
        <row r="256">
          <cell r="D256" t="str">
            <v xml:space="preserve">  B.120.            </v>
          </cell>
          <cell r="E256" t="str">
            <v>CP0240</v>
          </cell>
          <cell r="F256" t="str">
            <v>7.9.</v>
          </cell>
          <cell r="G256" t="str">
            <v xml:space="preserve">Válvula de segurança em bronze ø 2, roscável  </v>
          </cell>
          <cell r="H256" t="str">
            <v xml:space="preserve">un    </v>
          </cell>
          <cell r="I256">
            <v>8</v>
          </cell>
          <cell r="J256">
            <v>21.2</v>
          </cell>
          <cell r="K256">
            <v>54.55</v>
          </cell>
          <cell r="L256">
            <v>169.6</v>
          </cell>
        </row>
        <row r="257">
          <cell r="D257" t="str">
            <v xml:space="preserve">  B.121.            </v>
          </cell>
          <cell r="E257" t="str">
            <v>CP0430</v>
          </cell>
          <cell r="F257" t="str">
            <v>7.10.</v>
          </cell>
          <cell r="G257" t="str">
            <v xml:space="preserve">Regulador de pressão ø 3/4 mod. Standard da NORGREN, ou 07R418AC da Parker, ou similar  </v>
          </cell>
          <cell r="H257" t="str">
            <v xml:space="preserve">un    </v>
          </cell>
          <cell r="I257">
            <v>8</v>
          </cell>
          <cell r="J257">
            <v>58.84</v>
          </cell>
          <cell r="K257">
            <v>49.05</v>
          </cell>
          <cell r="L257">
            <v>470.72</v>
          </cell>
        </row>
        <row r="258">
          <cell r="D258" t="str">
            <v xml:space="preserve">  B.122.            </v>
          </cell>
          <cell r="E258" t="str">
            <v>CP0429</v>
          </cell>
          <cell r="F258" t="str">
            <v>7.11.</v>
          </cell>
          <cell r="G258" t="str">
            <v xml:space="preserve">Filtro removedor de óleo automático ø 3/4 da NORGREN, ou Filtro coalescente grau 06 3535--2000F06 da Parker, ou similar  </v>
          </cell>
          <cell r="H258" t="str">
            <v xml:space="preserve">un    </v>
          </cell>
          <cell r="I258">
            <v>8</v>
          </cell>
          <cell r="J258">
            <v>84.02</v>
          </cell>
          <cell r="K258">
            <v>70.53</v>
          </cell>
          <cell r="L258">
            <v>672.16</v>
          </cell>
        </row>
        <row r="259">
          <cell r="D259" t="str">
            <v xml:space="preserve">  B.123.            </v>
          </cell>
          <cell r="E259" t="str">
            <v>CP0428</v>
          </cell>
          <cell r="F259" t="str">
            <v>7.12.</v>
          </cell>
          <cell r="G259" t="str">
            <v xml:space="preserve">Rotâmetro p/ ar c/ rosca ø 1/2 capacidade de 1500 a 15000 l/h mod. 420 CONAUT ou similar  </v>
          </cell>
          <cell r="H259" t="str">
            <v xml:space="preserve">un    </v>
          </cell>
          <cell r="I259">
            <v>8</v>
          </cell>
          <cell r="J259">
            <v>229.38</v>
          </cell>
          <cell r="K259">
            <v>206.8</v>
          </cell>
          <cell r="L259">
            <v>1835.04</v>
          </cell>
        </row>
        <row r="260">
          <cell r="D260" t="str">
            <v xml:space="preserve">  B.124.            </v>
          </cell>
          <cell r="E260" t="str">
            <v>CP0427</v>
          </cell>
          <cell r="F260" t="str">
            <v>7.13.</v>
          </cell>
          <cell r="G260" t="str">
            <v xml:space="preserve">Manômetro com escala de 0 a 10 bar, diâmetro do mostrador 100 mm  </v>
          </cell>
          <cell r="H260" t="str">
            <v xml:space="preserve">un    </v>
          </cell>
          <cell r="I260">
            <v>8</v>
          </cell>
          <cell r="J260">
            <v>61.24</v>
          </cell>
          <cell r="K260">
            <v>51.43</v>
          </cell>
          <cell r="L260">
            <v>489.92</v>
          </cell>
        </row>
        <row r="261">
          <cell r="D261" t="str">
            <v xml:space="preserve">  B.125.            </v>
          </cell>
          <cell r="E261" t="str">
            <v>CP0376</v>
          </cell>
          <cell r="F261" t="str">
            <v>7.14.</v>
          </cell>
          <cell r="G261" t="str">
            <v xml:space="preserve">Válvula de esfera em latão ø 1/2 roscável  </v>
          </cell>
          <cell r="H261" t="str">
            <v xml:space="preserve">un    </v>
          </cell>
          <cell r="I261">
            <v>40</v>
          </cell>
          <cell r="J261">
            <v>18.22</v>
          </cell>
          <cell r="K261">
            <v>22.3</v>
          </cell>
          <cell r="L261">
            <v>728.8</v>
          </cell>
        </row>
        <row r="262">
          <cell r="D262" t="str">
            <v xml:space="preserve">  B.126.            </v>
          </cell>
          <cell r="E262" t="str">
            <v>CP4611</v>
          </cell>
          <cell r="F262" t="str">
            <v>7.15.</v>
          </cell>
          <cell r="G262" t="str">
            <v xml:space="preserve">Válvula duplo solenóide 5/2 vias ø 1/4, 220 V - 60 Hz, pressão de trabalho até 7 bar  </v>
          </cell>
          <cell r="H262" t="str">
            <v xml:space="preserve">un    </v>
          </cell>
          <cell r="I262">
            <v>40</v>
          </cell>
          <cell r="J262">
            <v>73.72</v>
          </cell>
          <cell r="K262">
            <v>61.71</v>
          </cell>
          <cell r="L262">
            <v>2948.8</v>
          </cell>
        </row>
        <row r="263">
          <cell r="D263" t="str">
            <v xml:space="preserve">  B.127.            </v>
          </cell>
          <cell r="E263" t="str">
            <v>CP0400</v>
          </cell>
          <cell r="F263" t="str">
            <v>7.16.</v>
          </cell>
          <cell r="G263" t="str">
            <v xml:space="preserve">Adaptador macho/fêmea em latão ø 1/2 x 1/4  </v>
          </cell>
          <cell r="H263" t="str">
            <v xml:space="preserve">un    </v>
          </cell>
          <cell r="I263">
            <v>40</v>
          </cell>
          <cell r="J263">
            <v>5.51</v>
          </cell>
          <cell r="K263">
            <v>4.6100000000000003</v>
          </cell>
          <cell r="L263">
            <v>220.4</v>
          </cell>
        </row>
        <row r="264">
          <cell r="D264" t="str">
            <v xml:space="preserve">  B.128.            </v>
          </cell>
          <cell r="E264" t="str">
            <v>CP0400</v>
          </cell>
          <cell r="F264" t="str">
            <v>7.17.</v>
          </cell>
          <cell r="G264" t="str">
            <v xml:space="preserve">Conector macho em latão ø 3/8 x 1/4  </v>
          </cell>
          <cell r="H264" t="str">
            <v xml:space="preserve">un    </v>
          </cell>
          <cell r="I264">
            <v>240</v>
          </cell>
          <cell r="J264">
            <v>5.51</v>
          </cell>
          <cell r="K264">
            <v>5.78</v>
          </cell>
          <cell r="L264">
            <v>1322.4</v>
          </cell>
        </row>
        <row r="265">
          <cell r="D265" t="str">
            <v xml:space="preserve">  B.129.            </v>
          </cell>
          <cell r="E265" t="str">
            <v>CP0396</v>
          </cell>
          <cell r="F265" t="str">
            <v>7.18.</v>
          </cell>
          <cell r="G265" t="str">
            <v xml:space="preserve">Tubo de nylon preto ø 3/8  </v>
          </cell>
          <cell r="H265" t="str">
            <v xml:space="preserve">m     </v>
          </cell>
          <cell r="I265">
            <v>120</v>
          </cell>
          <cell r="J265">
            <v>7.06</v>
          </cell>
          <cell r="K265">
            <v>6.16</v>
          </cell>
          <cell r="L265">
            <v>847.2</v>
          </cell>
        </row>
        <row r="266">
          <cell r="D266" t="str">
            <v xml:space="preserve">  B.130.            </v>
          </cell>
          <cell r="E266" t="str">
            <v>CP0239</v>
          </cell>
          <cell r="F266" t="str">
            <v>7.19.</v>
          </cell>
          <cell r="G266" t="str">
            <v xml:space="preserve">Conjunto filtro regulador e lubrificador com manômetro e suporte ø 1/2  </v>
          </cell>
          <cell r="H266" t="str">
            <v xml:space="preserve">un    </v>
          </cell>
          <cell r="I266">
            <v>1</v>
          </cell>
          <cell r="J266">
            <v>22.78</v>
          </cell>
          <cell r="K266">
            <v>70.260000000000005</v>
          </cell>
          <cell r="L266">
            <v>22.78</v>
          </cell>
        </row>
        <row r="267">
          <cell r="D267" t="str">
            <v xml:space="preserve">  B.131.            </v>
          </cell>
          <cell r="E267" t="str">
            <v>CP0393</v>
          </cell>
          <cell r="F267" t="str">
            <v>7.20.</v>
          </cell>
          <cell r="G267" t="str">
            <v xml:space="preserve">Calha semi-circular em fibra de vidro, DN 300  </v>
          </cell>
          <cell r="H267" t="str">
            <v xml:space="preserve">un    </v>
          </cell>
          <cell r="I267">
            <v>1</v>
          </cell>
          <cell r="J267">
            <v>704.82</v>
          </cell>
          <cell r="K267">
            <v>855.77</v>
          </cell>
          <cell r="L267">
            <v>704.82</v>
          </cell>
        </row>
        <row r="268">
          <cell r="D268" t="str">
            <v xml:space="preserve">  B.132.            </v>
          </cell>
          <cell r="E268" t="str">
            <v>CP0392</v>
          </cell>
          <cell r="F268" t="str">
            <v>7.21.</v>
          </cell>
          <cell r="G268" t="str">
            <v xml:space="preserve">Válvula de retenção, DN 150, com flanges, aço inox  </v>
          </cell>
          <cell r="H268" t="str">
            <v xml:space="preserve">un    </v>
          </cell>
          <cell r="I268">
            <v>8</v>
          </cell>
          <cell r="J268">
            <v>176.56</v>
          </cell>
          <cell r="K268">
            <v>148.34</v>
          </cell>
          <cell r="L268">
            <v>1412.48</v>
          </cell>
        </row>
        <row r="269">
          <cell r="D269" t="str">
            <v xml:space="preserve">  B.133.            </v>
          </cell>
          <cell r="E269" t="str">
            <v>CP0376</v>
          </cell>
          <cell r="F269" t="str">
            <v>7.22.</v>
          </cell>
          <cell r="G269" t="str">
            <v xml:space="preserve">Válvula solenóide em bronze de duas vias ø 3/4  </v>
          </cell>
          <cell r="H269" t="str">
            <v xml:space="preserve">un    </v>
          </cell>
          <cell r="I269">
            <v>8</v>
          </cell>
          <cell r="J269">
            <v>18.22</v>
          </cell>
          <cell r="K269">
            <v>86.89</v>
          </cell>
          <cell r="L269">
            <v>145.76</v>
          </cell>
        </row>
        <row r="270">
          <cell r="D270" t="str">
            <v xml:space="preserve">  B.134.            </v>
          </cell>
          <cell r="E270" t="str">
            <v>CP0376</v>
          </cell>
          <cell r="F270" t="str">
            <v>7.23.</v>
          </cell>
          <cell r="G270" t="str">
            <v xml:space="preserve">Válvula de agulha de bronze c/ rosca ø 1/2  </v>
          </cell>
          <cell r="H270" t="str">
            <v xml:space="preserve">un    </v>
          </cell>
          <cell r="I270">
            <v>16</v>
          </cell>
          <cell r="J270">
            <v>18.22</v>
          </cell>
          <cell r="K270">
            <v>32.07</v>
          </cell>
          <cell r="L270">
            <v>291.52</v>
          </cell>
        </row>
        <row r="271">
          <cell r="D271" t="str">
            <v xml:space="preserve">  B.135.            </v>
          </cell>
          <cell r="E271" t="str">
            <v>CP0376</v>
          </cell>
          <cell r="F271" t="str">
            <v>7.24.</v>
          </cell>
          <cell r="G271" t="str">
            <v xml:space="preserve">Válvula de esfera em bronze c/ rosca fêmea ø 1  </v>
          </cell>
          <cell r="H271" t="str">
            <v xml:space="preserve">un    </v>
          </cell>
          <cell r="I271">
            <v>32</v>
          </cell>
          <cell r="J271">
            <v>18.22</v>
          </cell>
          <cell r="K271">
            <v>32.07</v>
          </cell>
          <cell r="L271">
            <v>583.04</v>
          </cell>
        </row>
        <row r="272">
          <cell r="D272" t="str">
            <v xml:space="preserve">  B.136.            </v>
          </cell>
          <cell r="E272" t="str">
            <v>CP0374</v>
          </cell>
          <cell r="F272" t="str">
            <v>7.25.</v>
          </cell>
          <cell r="G272" t="str">
            <v xml:space="preserve">Chave de nível mod. 07 R CONAUT ou similar  </v>
          </cell>
          <cell r="H272" t="str">
            <v xml:space="preserve">un    </v>
          </cell>
          <cell r="I272">
            <v>8</v>
          </cell>
          <cell r="J272">
            <v>123.52</v>
          </cell>
          <cell r="K272">
            <v>320.7</v>
          </cell>
          <cell r="L272">
            <v>988.16</v>
          </cell>
        </row>
        <row r="273">
          <cell r="D273" t="str">
            <v xml:space="preserve">  B.137.            </v>
          </cell>
          <cell r="E273" t="str">
            <v>CP0374</v>
          </cell>
          <cell r="F273" t="str">
            <v>7.26.</v>
          </cell>
          <cell r="G273" t="str">
            <v xml:space="preserve">Visor de nível mod. 050 CONAUT c/ conexões em rosca  </v>
          </cell>
          <cell r="H273" t="str">
            <v xml:space="preserve">un    </v>
          </cell>
          <cell r="I273">
            <v>8</v>
          </cell>
          <cell r="J273">
            <v>123.52</v>
          </cell>
          <cell r="K273">
            <v>103.4</v>
          </cell>
          <cell r="L273">
            <v>988.16</v>
          </cell>
        </row>
        <row r="274">
          <cell r="D274" t="str">
            <v xml:space="preserve">  B.138.            </v>
          </cell>
          <cell r="E274" t="str">
            <v xml:space="preserve">      </v>
          </cell>
          <cell r="F274" t="str">
            <v>8.</v>
          </cell>
          <cell r="G274" t="str">
            <v xml:space="preserve">Fornecimento de Tubos, Peças, Conexões e Aparelhos Hidráulicos  </v>
          </cell>
          <cell r="H274" t="str">
            <v xml:space="preserve">      </v>
          </cell>
          <cell r="I274">
            <v>0</v>
          </cell>
          <cell r="J274">
            <v>0</v>
          </cell>
          <cell r="K274">
            <v>0</v>
          </cell>
          <cell r="L274">
            <v>0</v>
          </cell>
        </row>
        <row r="275">
          <cell r="D275" t="str">
            <v xml:space="preserve">  B.139.            </v>
          </cell>
          <cell r="E275" t="str">
            <v xml:space="preserve">      </v>
          </cell>
          <cell r="F275" t="str">
            <v>8.1.</v>
          </cell>
          <cell r="G275" t="str">
            <v xml:space="preserve">Tubos de aço carbono ASTM A-36/93, calandrados e soldados pelo processo do arco submerso, com pontas biseladas para solda em campo e/ou flangeadas. Revestimento interno e externo com tinta epoxi.  </v>
          </cell>
          <cell r="H275" t="str">
            <v xml:space="preserve">      </v>
          </cell>
          <cell r="I275">
            <v>0</v>
          </cell>
          <cell r="J275">
            <v>0</v>
          </cell>
          <cell r="K275">
            <v>0</v>
          </cell>
          <cell r="L275">
            <v>0</v>
          </cell>
        </row>
        <row r="276">
          <cell r="D276" t="str">
            <v xml:space="preserve">  B.140.            </v>
          </cell>
          <cell r="E276" t="str">
            <v>CP1424</v>
          </cell>
          <cell r="F276" t="str">
            <v>8.1.1.</v>
          </cell>
          <cell r="G276" t="str">
            <v>Tubos de aço carbono ASTM A-36/93, calandrados e soldados pelo processo do arco submerso, com pontas biseladas para solda em campo e/ou flangeadas. Revestimento interno e externo com tinta epoxi. DN 450 esp. 1/4, flange c/ ponta e aba de ved., L = 2, 00 m</v>
          </cell>
          <cell r="H276" t="str">
            <v xml:space="preserve">pç    </v>
          </cell>
          <cell r="I276">
            <v>8</v>
          </cell>
          <cell r="J276">
            <v>4586.05</v>
          </cell>
          <cell r="K276">
            <v>4816.92</v>
          </cell>
          <cell r="L276">
            <v>36688.400000000001</v>
          </cell>
        </row>
        <row r="277">
          <cell r="D277" t="str">
            <v xml:space="preserve">  B.141.            </v>
          </cell>
          <cell r="E277" t="str">
            <v>CP1521</v>
          </cell>
          <cell r="F277" t="str">
            <v>8.1.2.</v>
          </cell>
          <cell r="G277" t="str">
            <v>Tubos de aço carbono ASTM A-36/93, calandrados e soldados pelo processo do arco submerso, com pontas biseladas para solda em campo e/ou flangeadas. Revestimento interno e externo com tinta epoxi. DN 150, esp. 3/16, L = 0,35 m, c/ pontas com furo de deriva</v>
          </cell>
          <cell r="H277" t="str">
            <v xml:space="preserve">pç    </v>
          </cell>
          <cell r="I277">
            <v>16</v>
          </cell>
          <cell r="J277">
            <v>429.08</v>
          </cell>
          <cell r="K277">
            <v>490.28</v>
          </cell>
          <cell r="L277">
            <v>6865.28</v>
          </cell>
        </row>
        <row r="278">
          <cell r="D278" t="str">
            <v xml:space="preserve">  B.142.            </v>
          </cell>
          <cell r="E278" t="str">
            <v>CP1551</v>
          </cell>
          <cell r="F278" t="str">
            <v>8.1.3.</v>
          </cell>
          <cell r="G278" t="str">
            <v>Tubos de aço carbono ASTM A-36/93, calandrados e soldados pelo processo do arco submerso, com pontas biseladas para solda em campo e/ou flangeadas. Revestimento interno e externo com tinta epoxi. DN 150, esp. 3/16, L = 0,30 m, c/ pontas com furo de deriva</v>
          </cell>
          <cell r="H278" t="str">
            <v xml:space="preserve">pç    </v>
          </cell>
          <cell r="I278">
            <v>8</v>
          </cell>
          <cell r="J278">
            <v>425.75</v>
          </cell>
          <cell r="K278">
            <v>478.44</v>
          </cell>
          <cell r="L278">
            <v>3406</v>
          </cell>
        </row>
        <row r="279">
          <cell r="D279" t="str">
            <v xml:space="preserve">  B.143.            </v>
          </cell>
          <cell r="E279" t="str">
            <v>CP1558</v>
          </cell>
          <cell r="F279" t="str">
            <v>8.1.4.</v>
          </cell>
          <cell r="G279" t="str">
            <v xml:space="preserve">Tubos de aço carbono ASTM A-36/93, calandrados e soldados pelo processo do arco submerso, com pontas biseladas para solda em campo e/ou flangeadas. Revestimento interno e externo com tinta epoxi. DN 150 esp. 3/16, L = 0,80 m com pontas  </v>
          </cell>
          <cell r="H279" t="str">
            <v xml:space="preserve">pç    </v>
          </cell>
          <cell r="I279">
            <v>8</v>
          </cell>
          <cell r="J279">
            <v>668.51</v>
          </cell>
          <cell r="K279">
            <v>764.32</v>
          </cell>
          <cell r="L279">
            <v>5348.08</v>
          </cell>
        </row>
        <row r="280">
          <cell r="D280" t="str">
            <v xml:space="preserve">  B.144.            </v>
          </cell>
          <cell r="E280" t="str">
            <v>CP1544</v>
          </cell>
          <cell r="F280" t="str">
            <v>8.1.5.</v>
          </cell>
          <cell r="G280" t="str">
            <v xml:space="preserve">Tubos de aço carbono ASTM A-36/93, calandrados e soldados pelo processo do arco submerso, com pontas biseladas para solda em campo e/ou flangeadas. Revestimento interno e externo com tinta epoxi. DN 150, esp. 3/16, L = 0,70 m, ponta e flange  </v>
          </cell>
          <cell r="H280" t="str">
            <v xml:space="preserve">pç    </v>
          </cell>
          <cell r="I280">
            <v>16</v>
          </cell>
          <cell r="J280">
            <v>934.2</v>
          </cell>
          <cell r="K280">
            <v>1051.6600000000001</v>
          </cell>
          <cell r="L280">
            <v>14947.2</v>
          </cell>
        </row>
        <row r="281">
          <cell r="D281" t="str">
            <v xml:space="preserve">  B.145.            </v>
          </cell>
          <cell r="E281" t="str">
            <v>CP1548</v>
          </cell>
          <cell r="F281" t="str">
            <v>8.1.6.</v>
          </cell>
          <cell r="G281" t="str">
            <v xml:space="preserve">Tubos de aço carbono ASTM A-36/93, calandrados e soldados pelo processo do arco submerso, com pontas biseladas para solda em campo e/ou flangeadas. Revestimento interno e externo com tinta epoxi. DN 150, esp. 3/16, L = 0,20 m, ponta e flange  </v>
          </cell>
          <cell r="H281" t="str">
            <v xml:space="preserve">pç    </v>
          </cell>
          <cell r="I281">
            <v>8</v>
          </cell>
          <cell r="J281">
            <v>571.70000000000005</v>
          </cell>
          <cell r="K281">
            <v>642.84</v>
          </cell>
          <cell r="L281">
            <v>4573.6000000000004</v>
          </cell>
        </row>
        <row r="282">
          <cell r="D282" t="str">
            <v xml:space="preserve">  B.146.            </v>
          </cell>
          <cell r="E282" t="str">
            <v>CP1449</v>
          </cell>
          <cell r="F282" t="str">
            <v>8.1.7.</v>
          </cell>
          <cell r="G282" t="str">
            <v xml:space="preserve">Tubos de aço carbono ASTM A-36/93, calandrados e soldados pelo processo do arco submerso, com pontas biseladas para solda em campo e/ou flangeadas. Revestimento interno e externo com tinta epoxi. DN 150, esp. 3/16, L = 2,10 m, ponta e flange  </v>
          </cell>
          <cell r="H282" t="str">
            <v xml:space="preserve">pç    </v>
          </cell>
          <cell r="I282">
            <v>8</v>
          </cell>
          <cell r="J282">
            <v>1892.7</v>
          </cell>
          <cell r="K282">
            <v>2129.9899999999998</v>
          </cell>
          <cell r="L282">
            <v>15141.6</v>
          </cell>
        </row>
        <row r="283">
          <cell r="D283" t="str">
            <v xml:space="preserve">  B.147.            </v>
          </cell>
          <cell r="E283" t="str">
            <v>CP1537</v>
          </cell>
          <cell r="F283" t="str">
            <v>8.1.8.</v>
          </cell>
          <cell r="G283" t="str">
            <v xml:space="preserve">Tubos de aço carbono ASTM A-36/93, calandrados e soldados pelo processo do arco submerso, com pontas biseladas para solda em campo e/ou flangeadas. Revestimento interno e externo com tinta epoxi. DN 150, esp. 3/16, L = 0,40 m, com flanges  </v>
          </cell>
          <cell r="H283" t="str">
            <v xml:space="preserve">pç    </v>
          </cell>
          <cell r="I283">
            <v>8</v>
          </cell>
          <cell r="J283">
            <v>933.72</v>
          </cell>
          <cell r="K283">
            <v>1045.74</v>
          </cell>
          <cell r="L283">
            <v>7469.76</v>
          </cell>
        </row>
        <row r="284">
          <cell r="D284" t="str">
            <v xml:space="preserve">  B.148.            </v>
          </cell>
          <cell r="E284" t="str">
            <v>CP1536</v>
          </cell>
          <cell r="F284" t="str">
            <v>8.1.9.</v>
          </cell>
          <cell r="G284" t="str">
            <v xml:space="preserve">Tubos de aço carbono ASTM A-36/93, calandrados e soldados pelo processo do arco submerso, com pontas biseladas para solda em campo e/ou flangeadas. Revestimento interno e externo com tinta epoxi. DN 150, esp. 3/16, L = 0,80 m, com flanges  </v>
          </cell>
          <cell r="H284" t="str">
            <v xml:space="preserve">pç    </v>
          </cell>
          <cell r="I284">
            <v>6</v>
          </cell>
          <cell r="J284">
            <v>1138.55</v>
          </cell>
          <cell r="K284">
            <v>1281.26</v>
          </cell>
          <cell r="L284">
            <v>6831.3</v>
          </cell>
        </row>
        <row r="285">
          <cell r="D285" t="str">
            <v xml:space="preserve">  B.149.            </v>
          </cell>
          <cell r="E285" t="str">
            <v xml:space="preserve">      </v>
          </cell>
          <cell r="F285" t="str">
            <v>8.2.</v>
          </cell>
          <cell r="G285" t="str">
            <v xml:space="preserve">Peças e conexões em aço carbono ASTM A-36/93, calandradas e soldadas pelo processo do arco submerso, com pontas biseladas para solda em campo e/ou flangeadas. Revestimento interno e externo com tinta epoxi  </v>
          </cell>
          <cell r="H285" t="str">
            <v xml:space="preserve">      </v>
          </cell>
          <cell r="I285">
            <v>0</v>
          </cell>
          <cell r="J285">
            <v>0</v>
          </cell>
          <cell r="K285">
            <v>0</v>
          </cell>
          <cell r="L285">
            <v>0</v>
          </cell>
        </row>
        <row r="286">
          <cell r="D286" t="str">
            <v xml:space="preserve">  B.150.            </v>
          </cell>
          <cell r="E286" t="str">
            <v xml:space="preserve">      </v>
          </cell>
          <cell r="F286" t="str">
            <v>8.2.1.</v>
          </cell>
          <cell r="G286" t="str">
            <v xml:space="preserve">Peças e conexões em aço carbono ASTM A-36/93, calandradas e soldadas pelo processo do arco submerso, com pontas biseladas para solda em campo e/ou flangeadas. Revestimento interno e externo com tinta epoxi Curvas  </v>
          </cell>
          <cell r="H286" t="str">
            <v xml:space="preserve">      </v>
          </cell>
          <cell r="I286">
            <v>0</v>
          </cell>
          <cell r="J286">
            <v>0</v>
          </cell>
          <cell r="K286">
            <v>0</v>
          </cell>
          <cell r="L286">
            <v>0</v>
          </cell>
        </row>
        <row r="287">
          <cell r="D287" t="str">
            <v xml:space="preserve">  B.151.            </v>
          </cell>
          <cell r="E287" t="str">
            <v>CP1545</v>
          </cell>
          <cell r="F287" t="str">
            <v>8.2.1.1.</v>
          </cell>
          <cell r="G287" t="str">
            <v>Peças e conexões em aço carbono ASTM A-36/93, calandradas e soldadas pelo processo do arco submerso, com pontas biseladas para solda em campo e/ou flangeadas. Revestimento interno e externo com tinta epoxi Curva 90o DN 150, esp. 3/16 raio curto, com ponta</v>
          </cell>
          <cell r="H287" t="str">
            <v xml:space="preserve">pç    </v>
          </cell>
          <cell r="I287">
            <v>24</v>
          </cell>
          <cell r="J287">
            <v>630.21</v>
          </cell>
          <cell r="K287">
            <v>745.05</v>
          </cell>
          <cell r="L287">
            <v>15125.04</v>
          </cell>
        </row>
        <row r="288">
          <cell r="D288" t="str">
            <v xml:space="preserve">  B.152.            </v>
          </cell>
          <cell r="E288" t="str">
            <v>CP1613</v>
          </cell>
          <cell r="F288" t="str">
            <v>8.2.1.2.</v>
          </cell>
          <cell r="G288" t="str">
            <v>Peças e conexões em aço carbono ASTM A-36/93, calandradas e soldadas pelo processo do arco submerso, com pontas biseladas para solda em campo e/ou flangeadas. Revestimento interno e externo com tinta epoxi Curva 90o DN 150, esp. 3/16 com flanges raio curt</v>
          </cell>
          <cell r="H288" t="str">
            <v xml:space="preserve">pç    </v>
          </cell>
          <cell r="I288">
            <v>48</v>
          </cell>
          <cell r="J288">
            <v>1215.05</v>
          </cell>
          <cell r="K288">
            <v>1143.5</v>
          </cell>
          <cell r="L288">
            <v>58322.400000000001</v>
          </cell>
        </row>
        <row r="289">
          <cell r="D289" t="str">
            <v xml:space="preserve">  B.153.            </v>
          </cell>
          <cell r="E289" t="str">
            <v xml:space="preserve">      </v>
          </cell>
          <cell r="F289" t="str">
            <v>8.2.2.</v>
          </cell>
          <cell r="G289" t="str">
            <v xml:space="preserve">Peças e conexões em aço carbono ASTM A-36/93, calandradas e soldadas pelo processo do arco submerso, com pontas biseladas para solda em campo e/ou flangeadas. Revestimento interno e externo com tinta epoxi Tês  </v>
          </cell>
          <cell r="H289" t="str">
            <v xml:space="preserve">      </v>
          </cell>
          <cell r="I289">
            <v>0</v>
          </cell>
          <cell r="J289">
            <v>0</v>
          </cell>
          <cell r="K289">
            <v>0</v>
          </cell>
          <cell r="L289">
            <v>0</v>
          </cell>
        </row>
        <row r="290">
          <cell r="D290" t="str">
            <v xml:space="preserve">  B.154.            </v>
          </cell>
          <cell r="E290" t="str">
            <v>CP1437</v>
          </cell>
          <cell r="F290" t="str">
            <v>8.2.2.1.</v>
          </cell>
          <cell r="G290" t="str">
            <v xml:space="preserve">Peças e conexões em aço carbono ASTM A-36/93, calandradas e soldadas pelo processo do arco submerso, com pontas biseladas para solda em campo e/ou flangeadas. Revestimento interno e externo com tinta epoxi Tês DN 150 esp. 3/16, com pontas  </v>
          </cell>
          <cell r="H290" t="str">
            <v xml:space="preserve">pç    </v>
          </cell>
          <cell r="I290">
            <v>8</v>
          </cell>
          <cell r="J290">
            <v>655.71</v>
          </cell>
          <cell r="K290">
            <v>774.68</v>
          </cell>
          <cell r="L290">
            <v>5245.68</v>
          </cell>
        </row>
        <row r="291">
          <cell r="D291" t="str">
            <v xml:space="preserve">  B.155.            </v>
          </cell>
          <cell r="E291" t="str">
            <v xml:space="preserve">      </v>
          </cell>
          <cell r="F291" t="str">
            <v>8.3.</v>
          </cell>
          <cell r="G291" t="str">
            <v xml:space="preserve">Tubos e conexões em ferro dúctil, centrifugados, c/ revestimento interno de cimento e externo em pintura betuminosa anticorrosiva na cor preta.  </v>
          </cell>
          <cell r="H291" t="str">
            <v xml:space="preserve">      </v>
          </cell>
          <cell r="I291">
            <v>0</v>
          </cell>
          <cell r="J291">
            <v>0</v>
          </cell>
          <cell r="K291">
            <v>0</v>
          </cell>
          <cell r="L291">
            <v>0</v>
          </cell>
        </row>
        <row r="292">
          <cell r="D292" t="str">
            <v xml:space="preserve">  B.156.            </v>
          </cell>
          <cell r="E292" t="str">
            <v>CP1021</v>
          </cell>
          <cell r="F292" t="str">
            <v>8.3.1.</v>
          </cell>
          <cell r="G292" t="str">
            <v xml:space="preserve">Tubos e conexões em ferro dúctil, centrifugados, c/ revestimento interno de cimento e externo em pintura betuminosa anticorrosiva na cor preta. Tubo DN 200 JE classe K-7 (TK7JGS D=200mm)  </v>
          </cell>
          <cell r="H292" t="str">
            <v xml:space="preserve">m     </v>
          </cell>
          <cell r="I292">
            <v>1</v>
          </cell>
          <cell r="J292">
            <v>233.27</v>
          </cell>
          <cell r="K292">
            <v>200.37</v>
          </cell>
          <cell r="L292">
            <v>233.27</v>
          </cell>
        </row>
        <row r="293">
          <cell r="D293" t="str">
            <v xml:space="preserve">  B.157.            </v>
          </cell>
          <cell r="E293" t="str">
            <v xml:space="preserve">      </v>
          </cell>
          <cell r="F293" t="str">
            <v>8.3.2.</v>
          </cell>
          <cell r="G293" t="str">
            <v xml:space="preserve">Tubos e conexões em ferro dúctil, centrifugados, c/ revestimento interno de cimento e externo em pintura betuminosa anticorrosiva na cor preta. Curva 90o com flanges, PN 10  </v>
          </cell>
          <cell r="H293" t="str">
            <v xml:space="preserve">      </v>
          </cell>
          <cell r="I293">
            <v>0</v>
          </cell>
          <cell r="J293">
            <v>0</v>
          </cell>
          <cell r="K293">
            <v>0</v>
          </cell>
          <cell r="L293">
            <v>0</v>
          </cell>
        </row>
        <row r="294">
          <cell r="D294" t="str">
            <v xml:space="preserve">  B.158.            </v>
          </cell>
          <cell r="E294" t="str">
            <v>CP1000</v>
          </cell>
          <cell r="F294" t="str">
            <v>8.3.2.1.</v>
          </cell>
          <cell r="G294" t="str">
            <v xml:space="preserve">Tubos e conexões em ferro dúctil, centrifugados, c/ revestimento interno de cimento e externo em pintura betuminosa anticorrosiva na cor preta. Curva 90o com flanges, PN 10 C90FF10 D=300 mm  </v>
          </cell>
          <cell r="H294" t="str">
            <v xml:space="preserve">pç    </v>
          </cell>
          <cell r="I294">
            <v>8</v>
          </cell>
          <cell r="J294">
            <v>481.81</v>
          </cell>
          <cell r="K294">
            <v>402.31</v>
          </cell>
          <cell r="L294">
            <v>3854.48</v>
          </cell>
        </row>
        <row r="295">
          <cell r="D295" t="str">
            <v xml:space="preserve">  B.159.            </v>
          </cell>
          <cell r="E295" t="str">
            <v>CP1002</v>
          </cell>
          <cell r="F295" t="str">
            <v>8.3.2.2.</v>
          </cell>
          <cell r="G295" t="str">
            <v xml:space="preserve">Tubos e conexões em ferro dúctil, centrifugados, c/ revestimento interno de cimento e externo em pintura betuminosa anticorrosiva na cor preta. Curva 90o com flanges, PN 10 C90FF10 D=200 mm  </v>
          </cell>
          <cell r="H295" t="str">
            <v xml:space="preserve">pç    </v>
          </cell>
          <cell r="I295">
            <v>5</v>
          </cell>
          <cell r="J295">
            <v>434.47</v>
          </cell>
          <cell r="K295">
            <v>420.61</v>
          </cell>
          <cell r="L295">
            <v>2172.35</v>
          </cell>
        </row>
        <row r="296">
          <cell r="D296" t="str">
            <v xml:space="preserve">  B.160.            </v>
          </cell>
          <cell r="E296" t="str">
            <v>CP1016</v>
          </cell>
          <cell r="F296" t="str">
            <v>8.3.3.</v>
          </cell>
          <cell r="G296" t="str">
            <v xml:space="preserve">Tubos e conexões em ferro dúctil, centrifugados, c/ revestimento interno de cimento e externo em pintura betuminosa anticorrosiva na cor preta. Curva 90o com bolsas, JE DN 200 (C90JGS 200 mm)  </v>
          </cell>
          <cell r="H296" t="str">
            <v xml:space="preserve">pç    </v>
          </cell>
          <cell r="I296">
            <v>6</v>
          </cell>
          <cell r="J296">
            <v>243.26</v>
          </cell>
          <cell r="K296">
            <v>203.68</v>
          </cell>
          <cell r="L296">
            <v>1459.56</v>
          </cell>
        </row>
        <row r="297">
          <cell r="D297" t="str">
            <v xml:space="preserve">  B.161.            </v>
          </cell>
          <cell r="E297" t="str">
            <v>CP1006</v>
          </cell>
          <cell r="F297" t="str">
            <v>8.3.4.</v>
          </cell>
          <cell r="G297" t="str">
            <v xml:space="preserve">Tubos e conexões em ferro dúctil, centrifugados, c/ revestimento interno de cimento e externo em pintura betuminosa anticorrosiva na cor preta. Curva 90o com flange e pé PN 10 DN 200 (CP90FF10 200 mm)  </v>
          </cell>
          <cell r="H297" t="str">
            <v xml:space="preserve">pç    </v>
          </cell>
          <cell r="I297">
            <v>1</v>
          </cell>
          <cell r="J297">
            <v>379.98</v>
          </cell>
          <cell r="K297">
            <v>318.61</v>
          </cell>
          <cell r="L297">
            <v>379.98</v>
          </cell>
        </row>
        <row r="298">
          <cell r="D298" t="str">
            <v xml:space="preserve">  B.162.            </v>
          </cell>
          <cell r="E298" t="str">
            <v>CP1676</v>
          </cell>
          <cell r="F298" t="str">
            <v>8.3.5.</v>
          </cell>
          <cell r="G298" t="str">
            <v xml:space="preserve">Tubos e conexões em ferro dúctil, centrifugados, c/ revestimento interno de cimento e externo em pintura betuminosa anticorrosiva na cor preta. Extremidade flange e ponta JE PN 10 DN 200 (EFJGS 200 mm)  </v>
          </cell>
          <cell r="H298" t="str">
            <v xml:space="preserve">pç    </v>
          </cell>
          <cell r="I298">
            <v>2</v>
          </cell>
          <cell r="J298">
            <v>304.56</v>
          </cell>
          <cell r="K298">
            <v>294.85000000000002</v>
          </cell>
          <cell r="L298">
            <v>609.12</v>
          </cell>
        </row>
        <row r="299">
          <cell r="D299" t="str">
            <v xml:space="preserve">  B.163.            </v>
          </cell>
          <cell r="E299" t="str">
            <v xml:space="preserve">      </v>
          </cell>
          <cell r="F299" t="str">
            <v>8.3.6.</v>
          </cell>
          <cell r="G299" t="str">
            <v xml:space="preserve">Tubos e conexões em ferro dúctil, centrifugados, c/ revestimento interno de cimento e externo em pintura betuminosa anticorrosiva na cor preta. Extremidade ponta e flange com aba de vedação, PN 10  </v>
          </cell>
          <cell r="H299" t="str">
            <v xml:space="preserve">      </v>
          </cell>
          <cell r="I299">
            <v>0</v>
          </cell>
          <cell r="J299">
            <v>0</v>
          </cell>
          <cell r="K299">
            <v>0</v>
          </cell>
          <cell r="L299">
            <v>0</v>
          </cell>
        </row>
        <row r="300">
          <cell r="D300" t="str">
            <v xml:space="preserve">  B.164.            </v>
          </cell>
          <cell r="E300" t="str">
            <v>CP0994</v>
          </cell>
          <cell r="F300" t="str">
            <v>8.3.6.1.</v>
          </cell>
          <cell r="G300" t="str">
            <v xml:space="preserve">Tubos e conexões em ferro dúctil, centrifugados, c/ revestimento interno de cimento e externo em pintura betuminosa anticorrosiva na cor preta. Extremidade ponta e flange com aba de vedação, PN 10 EPFAV10 300 mm  </v>
          </cell>
          <cell r="H300" t="str">
            <v xml:space="preserve">pç    </v>
          </cell>
          <cell r="I300">
            <v>8</v>
          </cell>
          <cell r="J300">
            <v>751.77</v>
          </cell>
          <cell r="K300">
            <v>631.38</v>
          </cell>
          <cell r="L300">
            <v>6014.16</v>
          </cell>
        </row>
        <row r="301">
          <cell r="D301" t="str">
            <v xml:space="preserve">  B.165.            </v>
          </cell>
          <cell r="E301" t="str">
            <v>CP0995</v>
          </cell>
          <cell r="F301" t="str">
            <v>8.3.6.2.</v>
          </cell>
          <cell r="G301" t="str">
            <v xml:space="preserve">Tubos e conexões em ferro dúctil, centrifugados, c/ revestimento interno de cimento e externo em pintura betuminosa anticorrosiva na cor preta. Extremidade ponta e flange com aba de vedação, PN 10 EPFAV10 200 mm  </v>
          </cell>
          <cell r="H301" t="str">
            <v xml:space="preserve">pç    </v>
          </cell>
          <cell r="I301">
            <v>6</v>
          </cell>
          <cell r="J301">
            <v>469.72</v>
          </cell>
          <cell r="K301">
            <v>392.49</v>
          </cell>
          <cell r="L301">
            <v>2818.32</v>
          </cell>
        </row>
        <row r="302">
          <cell r="D302" t="str">
            <v xml:space="preserve">  B.166.            </v>
          </cell>
          <cell r="E302" t="str">
            <v>CP0998</v>
          </cell>
          <cell r="F302" t="str">
            <v>8.3.6.3.</v>
          </cell>
          <cell r="G302" t="str">
            <v xml:space="preserve">Tubos e conexões em ferro dúctil, centrifugados, c/ revestimento interno de cimento e externo em pintura betuminosa anticorrosiva na cor preta. Extremidade ponta e flange com aba de vedação, PN 10 EPFAV10 150 mm  </v>
          </cell>
          <cell r="H302" t="str">
            <v xml:space="preserve">pç    </v>
          </cell>
          <cell r="I302">
            <v>8</v>
          </cell>
          <cell r="J302">
            <v>187.48</v>
          </cell>
          <cell r="K302">
            <v>157.09</v>
          </cell>
          <cell r="L302">
            <v>1499.84</v>
          </cell>
        </row>
        <row r="303">
          <cell r="D303" t="str">
            <v xml:space="preserve">  B.167.            </v>
          </cell>
          <cell r="E303" t="str">
            <v>CP1015</v>
          </cell>
          <cell r="F303" t="str">
            <v>8.3.7.</v>
          </cell>
          <cell r="G303" t="str">
            <v xml:space="preserve">Tubos e conexões em ferro dúctil, centrifugados, c/ revestimento interno de cimento e externo em pintura betuminosa anticorrosiva na cor preta. Extremidade ponta e flange com aba de vedação, PN 10 Extremidade flange e bolsa, JE PN 10 DN 200  </v>
          </cell>
          <cell r="H303" t="str">
            <v xml:space="preserve">pç    </v>
          </cell>
          <cell r="I303">
            <v>1</v>
          </cell>
          <cell r="J303">
            <v>292.51</v>
          </cell>
          <cell r="K303">
            <v>245.66</v>
          </cell>
          <cell r="L303">
            <v>292.51</v>
          </cell>
        </row>
        <row r="304">
          <cell r="D304" t="str">
            <v xml:space="preserve">  B.168.            </v>
          </cell>
          <cell r="E304" t="str">
            <v xml:space="preserve">      </v>
          </cell>
          <cell r="F304" t="str">
            <v>8.3.8.</v>
          </cell>
          <cell r="G304" t="str">
            <v xml:space="preserve">Tubos e conexões em ferro dúctil, centrifugados, c/ revestimento interno de cimento e externo em pintura betuminosa anticorrosiva na cor preta. Tubo com flanges, PN 10  </v>
          </cell>
          <cell r="H304" t="str">
            <v xml:space="preserve">      </v>
          </cell>
          <cell r="I304">
            <v>0</v>
          </cell>
          <cell r="J304">
            <v>0</v>
          </cell>
          <cell r="K304">
            <v>0</v>
          </cell>
          <cell r="L304">
            <v>0</v>
          </cell>
        </row>
        <row r="305">
          <cell r="D305" t="str">
            <v xml:space="preserve">  B.169.            </v>
          </cell>
          <cell r="E305" t="str">
            <v>CP1505</v>
          </cell>
          <cell r="F305" t="str">
            <v>8.3.8.1.</v>
          </cell>
          <cell r="G305" t="str">
            <v xml:space="preserve">Tubos e conexões em ferro dúctil, centrifugados, c/ revestimento interno de cimento e externo em pintura betuminosa anticorrosiva na cor preta. Tubo com flanges, PN 10 DN 200, L = 4,08 m  </v>
          </cell>
          <cell r="H305" t="str">
            <v xml:space="preserve">pç    </v>
          </cell>
          <cell r="I305">
            <v>4</v>
          </cell>
          <cell r="J305">
            <v>1002.46</v>
          </cell>
          <cell r="K305">
            <v>841.1</v>
          </cell>
          <cell r="L305">
            <v>4009.84</v>
          </cell>
        </row>
        <row r="306">
          <cell r="D306" t="str">
            <v xml:space="preserve">  B.170.            </v>
          </cell>
          <cell r="E306" t="str">
            <v>CP1508</v>
          </cell>
          <cell r="F306" t="str">
            <v>8.3.8.2.</v>
          </cell>
          <cell r="G306" t="str">
            <v xml:space="preserve">Tubos e conexões em ferro dúctil, centrifugados, c/ revestimento interno de cimento e externo em pintura betuminosa anticorrosiva na cor preta. Tubo com flanges, PN 10 DN 200, L = 3,28 m  </v>
          </cell>
          <cell r="H306" t="str">
            <v xml:space="preserve">pç    </v>
          </cell>
          <cell r="I306">
            <v>1</v>
          </cell>
          <cell r="J306">
            <v>1506.93</v>
          </cell>
          <cell r="K306">
            <v>1262.7</v>
          </cell>
          <cell r="L306">
            <v>1506.93</v>
          </cell>
        </row>
        <row r="307">
          <cell r="D307" t="str">
            <v xml:space="preserve">  B.171.            </v>
          </cell>
          <cell r="E307" t="str">
            <v>CP1541</v>
          </cell>
          <cell r="F307" t="str">
            <v>8.3.8.3.</v>
          </cell>
          <cell r="G307" t="str">
            <v xml:space="preserve">Tubos e conexões em ferro dúctil, centrifugados, c/ revestimento interno de cimento e externo em pintura betuminosa anticorrosiva na cor preta. Tubo com flanges, PN 10 DN 200, L = 1,65 m  </v>
          </cell>
          <cell r="H307" t="str">
            <v xml:space="preserve">pç    </v>
          </cell>
          <cell r="I307">
            <v>1</v>
          </cell>
          <cell r="J307">
            <v>1004.43</v>
          </cell>
          <cell r="K307">
            <v>841.1</v>
          </cell>
          <cell r="L307">
            <v>1004.43</v>
          </cell>
        </row>
        <row r="308">
          <cell r="D308" t="str">
            <v xml:space="preserve">  B.172.            </v>
          </cell>
          <cell r="E308" t="str">
            <v>CP1590</v>
          </cell>
          <cell r="F308" t="str">
            <v>8.3.8.4.</v>
          </cell>
          <cell r="G308" t="str">
            <v xml:space="preserve">Tubos e conexões em ferro dúctil, centrifugados, c/ revestimento interno de cimento e externo em pintura betuminosa anticorrosiva na cor preta. Tubo com flanges, PN 10 DN 200, L = 1,50 m  </v>
          </cell>
          <cell r="H308" t="str">
            <v xml:space="preserve">pç    </v>
          </cell>
          <cell r="I308">
            <v>1</v>
          </cell>
          <cell r="J308">
            <v>834.78</v>
          </cell>
          <cell r="K308">
            <v>699.44</v>
          </cell>
          <cell r="L308">
            <v>834.78</v>
          </cell>
        </row>
        <row r="309">
          <cell r="D309" t="str">
            <v xml:space="preserve">  B.173.            </v>
          </cell>
          <cell r="E309" t="str">
            <v xml:space="preserve">      </v>
          </cell>
          <cell r="F309" t="str">
            <v>8.3.9.</v>
          </cell>
          <cell r="G309" t="str">
            <v xml:space="preserve">Tubos e conexões em ferro dúctil, centrifugados, c/ revestimento interno de cimento e externo em pintura betuminosa anticorrosiva na cor preta. Tubo com flange e ponta, PN 10  </v>
          </cell>
          <cell r="H309" t="str">
            <v xml:space="preserve">      </v>
          </cell>
          <cell r="I309">
            <v>0</v>
          </cell>
          <cell r="J309">
            <v>0</v>
          </cell>
          <cell r="K309">
            <v>0</v>
          </cell>
          <cell r="L309">
            <v>0</v>
          </cell>
        </row>
        <row r="310">
          <cell r="D310" t="str">
            <v xml:space="preserve">  B.174.            </v>
          </cell>
          <cell r="E310" t="str">
            <v>CP1625</v>
          </cell>
          <cell r="F310" t="str">
            <v>8.3.9.1.</v>
          </cell>
          <cell r="G310" t="str">
            <v xml:space="preserve">Tubos e conexões em ferro dúctil, centrifugados, c/ revestimento interno de cimento e externo em pintura betuminosa anticorrosiva na cor preta. Tubo com flange e ponta, PN 10 DN 200, L = 1,00 m  </v>
          </cell>
          <cell r="H310" t="str">
            <v xml:space="preserve">pç    </v>
          </cell>
          <cell r="I310">
            <v>2</v>
          </cell>
          <cell r="J310">
            <v>586.41</v>
          </cell>
          <cell r="K310">
            <v>559.39</v>
          </cell>
          <cell r="L310">
            <v>1172.82</v>
          </cell>
        </row>
        <row r="311">
          <cell r="D311" t="str">
            <v xml:space="preserve">  B.175.            </v>
          </cell>
          <cell r="E311" t="str">
            <v>CP0992</v>
          </cell>
          <cell r="F311" t="str">
            <v>8.3.10.</v>
          </cell>
          <cell r="G311" t="str">
            <v xml:space="preserve">Tubos e conexões em ferro dúctil, centrifugados, c/ revestimento interno de cimento e externo em pintura betuminosa anticorrosiva na cor preta. Tê com flanges PN10 TFF10 D=200 x 200 mm  </v>
          </cell>
          <cell r="H311" t="str">
            <v xml:space="preserve">pç    </v>
          </cell>
          <cell r="I311">
            <v>1</v>
          </cell>
          <cell r="J311">
            <v>793.81</v>
          </cell>
          <cell r="K311">
            <v>768.47</v>
          </cell>
          <cell r="L311">
            <v>793.81</v>
          </cell>
        </row>
        <row r="312">
          <cell r="D312" t="str">
            <v xml:space="preserve">  B.176.            </v>
          </cell>
          <cell r="E312" t="str">
            <v>CP1007</v>
          </cell>
          <cell r="F312" t="str">
            <v>8.3.11.</v>
          </cell>
          <cell r="G312" t="str">
            <v xml:space="preserve">Tubos e conexões em ferro dúctil, centrifugados, c/ revestimento interno de cimento e externo em pintura betuminosa anticorrosiva na cor preta. Carretel completo, CLC10 D=350 mm x 0,25 m  </v>
          </cell>
          <cell r="H312" t="str">
            <v xml:space="preserve">pç    </v>
          </cell>
          <cell r="I312">
            <v>2</v>
          </cell>
          <cell r="J312">
            <v>1180.99</v>
          </cell>
          <cell r="K312">
            <v>987.09</v>
          </cell>
          <cell r="L312">
            <v>2361.98</v>
          </cell>
        </row>
        <row r="313">
          <cell r="D313" t="str">
            <v xml:space="preserve">  B.177.            </v>
          </cell>
          <cell r="E313" t="str">
            <v xml:space="preserve">      </v>
          </cell>
          <cell r="F313" t="str">
            <v>8.3.12.</v>
          </cell>
          <cell r="G313" t="str">
            <v xml:space="preserve">Tubo e conexões em fibra de vidro  </v>
          </cell>
          <cell r="H313" t="str">
            <v xml:space="preserve">      </v>
          </cell>
          <cell r="I313">
            <v>0</v>
          </cell>
          <cell r="J313">
            <v>0</v>
          </cell>
          <cell r="K313">
            <v>0</v>
          </cell>
          <cell r="L313">
            <v>0</v>
          </cell>
        </row>
        <row r="314">
          <cell r="D314" t="str">
            <v xml:space="preserve">  B.178.            </v>
          </cell>
          <cell r="E314" t="str">
            <v>CP1470</v>
          </cell>
          <cell r="F314" t="str">
            <v>8.3.12.1.</v>
          </cell>
          <cell r="G314" t="str">
            <v xml:space="preserve">Tubo e conexões em fibra de vidro Tubo DN 400  </v>
          </cell>
          <cell r="H314" t="str">
            <v xml:space="preserve">m     </v>
          </cell>
          <cell r="I314">
            <v>64</v>
          </cell>
          <cell r="J314">
            <v>5202.76</v>
          </cell>
          <cell r="K314">
            <v>7432.52</v>
          </cell>
          <cell r="L314">
            <v>332976.64000000001</v>
          </cell>
        </row>
        <row r="315">
          <cell r="D315" t="str">
            <v xml:space="preserve">  B.179.            </v>
          </cell>
          <cell r="E315" t="str">
            <v>CP1441</v>
          </cell>
          <cell r="F315" t="str">
            <v>8.3.12.2.</v>
          </cell>
          <cell r="G315" t="str">
            <v xml:space="preserve">Tubo e conexões em fibra de vidro Tubo c/ ponta e flange L = 1,10m, DN 400  </v>
          </cell>
          <cell r="H315" t="str">
            <v xml:space="preserve">un    </v>
          </cell>
          <cell r="I315">
            <v>8</v>
          </cell>
          <cell r="J315">
            <v>7917.26</v>
          </cell>
          <cell r="K315">
            <v>11310.37</v>
          </cell>
          <cell r="L315">
            <v>63338.080000000002</v>
          </cell>
        </row>
        <row r="316">
          <cell r="D316" t="str">
            <v xml:space="preserve">  B.180.            </v>
          </cell>
          <cell r="E316" t="str">
            <v>CP1467</v>
          </cell>
          <cell r="F316" t="str">
            <v>8.3.12.3.</v>
          </cell>
          <cell r="G316" t="str">
            <v xml:space="preserve">Tubos e conexões em fibra de vidro Cap DN 400  </v>
          </cell>
          <cell r="H316" t="str">
            <v xml:space="preserve">pç    </v>
          </cell>
          <cell r="I316">
            <v>8</v>
          </cell>
          <cell r="J316">
            <v>5655.2</v>
          </cell>
          <cell r="K316">
            <v>8078.85</v>
          </cell>
          <cell r="L316">
            <v>45241.599999999999</v>
          </cell>
        </row>
        <row r="317">
          <cell r="D317" t="str">
            <v xml:space="preserve">  B.181.            </v>
          </cell>
          <cell r="E317" t="str">
            <v xml:space="preserve">      </v>
          </cell>
          <cell r="F317" t="str">
            <v>8.3.13.</v>
          </cell>
          <cell r="G317" t="str">
            <v xml:space="preserve">Válvulas e aparelhos de ferro dúctil:  </v>
          </cell>
          <cell r="H317" t="str">
            <v xml:space="preserve">      </v>
          </cell>
          <cell r="I317">
            <v>0</v>
          </cell>
          <cell r="J317">
            <v>0</v>
          </cell>
          <cell r="K317">
            <v>0</v>
          </cell>
          <cell r="L317">
            <v>0</v>
          </cell>
        </row>
        <row r="318">
          <cell r="D318" t="str">
            <v xml:space="preserve">  B.182.            </v>
          </cell>
          <cell r="E318" t="str">
            <v xml:space="preserve">      </v>
          </cell>
          <cell r="F318" t="str">
            <v>8.3.14.</v>
          </cell>
          <cell r="G318" t="str">
            <v xml:space="preserve">Válvulas e aparelhos de ferro dúctil: Registro de gaveta, série chata, com flanges e cabeçote, PN 10  </v>
          </cell>
          <cell r="H318" t="str">
            <v xml:space="preserve">      </v>
          </cell>
          <cell r="I318">
            <v>0</v>
          </cell>
          <cell r="J318">
            <v>0</v>
          </cell>
          <cell r="K318">
            <v>0</v>
          </cell>
          <cell r="L318">
            <v>0</v>
          </cell>
        </row>
        <row r="319">
          <cell r="D319" t="str">
            <v xml:space="preserve">  B.183.            </v>
          </cell>
          <cell r="E319" t="str">
            <v>CP1385</v>
          </cell>
          <cell r="F319" t="str">
            <v>8.3.14.1.</v>
          </cell>
          <cell r="G319" t="str">
            <v xml:space="preserve">Válvulas e aparelhos de ferro dúctil: Registro de gaveta, série chata, com flanges e cabeçote, PN 10 DN 300  </v>
          </cell>
          <cell r="H319" t="str">
            <v xml:space="preserve">un    </v>
          </cell>
          <cell r="I319">
            <v>8</v>
          </cell>
          <cell r="J319">
            <v>5477.03</v>
          </cell>
          <cell r="K319">
            <v>7587.68</v>
          </cell>
          <cell r="L319">
            <v>43816.24</v>
          </cell>
        </row>
        <row r="320">
          <cell r="D320" t="str">
            <v xml:space="preserve">  B.184.            </v>
          </cell>
          <cell r="E320" t="str">
            <v>CP1450</v>
          </cell>
          <cell r="F320" t="str">
            <v>8.3.14.2.</v>
          </cell>
          <cell r="G320" t="str">
            <v xml:space="preserve">Válvulas e aparelhos de ferro dúctil: Registro de gaveta, série chata, com flanges e cabeçote, PN 10 DN 200  </v>
          </cell>
          <cell r="H320" t="str">
            <v xml:space="preserve">un    </v>
          </cell>
          <cell r="I320">
            <v>6</v>
          </cell>
          <cell r="J320">
            <v>2007.35</v>
          </cell>
          <cell r="K320">
            <v>1717.88</v>
          </cell>
          <cell r="L320">
            <v>12044.1</v>
          </cell>
        </row>
        <row r="321">
          <cell r="D321" t="str">
            <v xml:space="preserve">  B.185.            </v>
          </cell>
          <cell r="E321" t="str">
            <v xml:space="preserve">      </v>
          </cell>
          <cell r="F321" t="str">
            <v>8.3.15.</v>
          </cell>
          <cell r="G321" t="str">
            <v xml:space="preserve">Válvula borboleta com flanges, acionamento manual  </v>
          </cell>
          <cell r="H321" t="str">
            <v xml:space="preserve">      </v>
          </cell>
          <cell r="I321">
            <v>0</v>
          </cell>
          <cell r="J321">
            <v>0</v>
          </cell>
          <cell r="K321">
            <v>0</v>
          </cell>
          <cell r="L321">
            <v>0</v>
          </cell>
        </row>
        <row r="322">
          <cell r="D322" t="str">
            <v xml:space="preserve">  B.186.            </v>
          </cell>
          <cell r="E322" t="str">
            <v>CP1373</v>
          </cell>
          <cell r="F322" t="str">
            <v>8.3.15.1.</v>
          </cell>
          <cell r="G322" t="str">
            <v xml:space="preserve">Válvula borboleta com flanges, acionamento manual DN 200  </v>
          </cell>
          <cell r="H322" t="str">
            <v xml:space="preserve">un    </v>
          </cell>
          <cell r="I322">
            <v>2</v>
          </cell>
          <cell r="J322">
            <v>9208.9599999999991</v>
          </cell>
          <cell r="K322">
            <v>7731.19</v>
          </cell>
          <cell r="L322">
            <v>18417.919999999998</v>
          </cell>
        </row>
        <row r="323">
          <cell r="D323" t="str">
            <v xml:space="preserve">  B.187.            </v>
          </cell>
          <cell r="E323" t="str">
            <v>CP0979</v>
          </cell>
          <cell r="F323" t="str">
            <v>8.3.16.</v>
          </cell>
          <cell r="G323" t="str">
            <v xml:space="preserve">Tubos e conexões em ferro dúctil, centrifugados, c/ revestimento interno de cimento e externo em pintura betuminosa anticorrosiva na cor preta. Chave T CHT-1  </v>
          </cell>
          <cell r="H323" t="str">
            <v xml:space="preserve">pç    </v>
          </cell>
          <cell r="I323">
            <v>6</v>
          </cell>
          <cell r="J323">
            <v>810.63</v>
          </cell>
          <cell r="K323">
            <v>995.11</v>
          </cell>
          <cell r="L323">
            <v>4863.78</v>
          </cell>
        </row>
        <row r="324">
          <cell r="D324" t="str">
            <v xml:space="preserve">  B.188.            </v>
          </cell>
          <cell r="E324" t="str">
            <v>CP1259</v>
          </cell>
          <cell r="F324" t="str">
            <v>8.4.</v>
          </cell>
          <cell r="G324" t="str">
            <v xml:space="preserve">Acessórios para juntas flangeadas de tubos, conexões e aparelhos em aço, Ferro Fundido e Fibra de Vidro  </v>
          </cell>
          <cell r="H324" t="str">
            <v xml:space="preserve">un    </v>
          </cell>
          <cell r="I324">
            <v>1</v>
          </cell>
          <cell r="J324">
            <v>27315.16</v>
          </cell>
          <cell r="K324">
            <v>39021.65</v>
          </cell>
          <cell r="L324">
            <v>27315.16</v>
          </cell>
        </row>
        <row r="325">
          <cell r="D325" t="str">
            <v xml:space="preserve">  B.189.            </v>
          </cell>
          <cell r="E325" t="str">
            <v xml:space="preserve">      </v>
          </cell>
          <cell r="F325" t="str">
            <v>9.</v>
          </cell>
          <cell r="G325" t="str">
            <v xml:space="preserve">Assentamento de Tubos, Peças, Conexões e Aparelhos Hidráulicos  </v>
          </cell>
          <cell r="H325" t="str">
            <v xml:space="preserve">      </v>
          </cell>
          <cell r="I325">
            <v>0</v>
          </cell>
          <cell r="J325">
            <v>0</v>
          </cell>
          <cell r="K325">
            <v>0</v>
          </cell>
          <cell r="L325">
            <v>0</v>
          </cell>
        </row>
        <row r="326">
          <cell r="D326" t="str">
            <v xml:space="preserve">  B.190.            </v>
          </cell>
          <cell r="E326" t="str">
            <v xml:space="preserve">      </v>
          </cell>
          <cell r="F326" t="str">
            <v>9.1.</v>
          </cell>
          <cell r="G326" t="str">
            <v xml:space="preserve">Assentamento de Tubos, peças e Conexões em Ferro Fundido Junta Elástica  </v>
          </cell>
          <cell r="H326" t="str">
            <v xml:space="preserve">      </v>
          </cell>
          <cell r="I326">
            <v>0</v>
          </cell>
          <cell r="J326">
            <v>0</v>
          </cell>
          <cell r="K326">
            <v>0</v>
          </cell>
          <cell r="L326">
            <v>0</v>
          </cell>
        </row>
        <row r="327">
          <cell r="D327" t="str">
            <v xml:space="preserve">  B.191.            </v>
          </cell>
          <cell r="E327" t="str">
            <v>CP1050</v>
          </cell>
          <cell r="F327" t="str">
            <v>9.1.1.</v>
          </cell>
          <cell r="G327" t="str">
            <v xml:space="preserve">Assentamento de Tubos, peças e Conexões em Ferro Fundido Junta Elástica DN 200 mm  </v>
          </cell>
          <cell r="H327" t="str">
            <v xml:space="preserve">m     </v>
          </cell>
          <cell r="I327">
            <v>1</v>
          </cell>
          <cell r="J327">
            <v>10.91</v>
          </cell>
          <cell r="K327">
            <v>9.16</v>
          </cell>
          <cell r="L327">
            <v>10.91</v>
          </cell>
        </row>
        <row r="328">
          <cell r="D328" t="str">
            <v xml:space="preserve">  B.192.            </v>
          </cell>
          <cell r="E328" t="str">
            <v>CP0169</v>
          </cell>
          <cell r="F328" t="str">
            <v>9.2.</v>
          </cell>
          <cell r="G328" t="str">
            <v xml:space="preserve">Montagens Especiais em Aço  </v>
          </cell>
          <cell r="H328" t="str">
            <v xml:space="preserve">kg    </v>
          </cell>
          <cell r="I328">
            <v>6850</v>
          </cell>
          <cell r="J328">
            <v>4.42</v>
          </cell>
          <cell r="K328">
            <v>3.71</v>
          </cell>
          <cell r="L328">
            <v>30277</v>
          </cell>
        </row>
        <row r="329">
          <cell r="D329" t="str">
            <v xml:space="preserve">  B.193.            </v>
          </cell>
          <cell r="E329" t="str">
            <v>CP0148</v>
          </cell>
          <cell r="F329" t="str">
            <v>9.3.</v>
          </cell>
          <cell r="G329" t="str">
            <v xml:space="preserve">Montagem de peças, conexões, equipamentos e aparelhos hidráulicos em ferro fundido  </v>
          </cell>
          <cell r="H329" t="str">
            <v xml:space="preserve">kg    </v>
          </cell>
          <cell r="I329">
            <v>6377</v>
          </cell>
          <cell r="J329">
            <v>1.33</v>
          </cell>
          <cell r="K329">
            <v>1.1100000000000001</v>
          </cell>
          <cell r="L329">
            <v>8481.41</v>
          </cell>
        </row>
        <row r="330">
          <cell r="D330" t="str">
            <v xml:space="preserve">  B.194.            </v>
          </cell>
          <cell r="E330" t="str">
            <v>CP0172</v>
          </cell>
          <cell r="F330" t="str">
            <v>9.4.</v>
          </cell>
          <cell r="G330" t="str">
            <v xml:space="preserve">Assentamento de tubos e conexões em fibra de vidro  </v>
          </cell>
          <cell r="H330" t="str">
            <v xml:space="preserve">m     </v>
          </cell>
          <cell r="I330">
            <v>64</v>
          </cell>
          <cell r="J330">
            <v>68.73</v>
          </cell>
          <cell r="K330">
            <v>57.45</v>
          </cell>
          <cell r="L330">
            <v>4398.72</v>
          </cell>
        </row>
        <row r="331">
          <cell r="D331" t="str">
            <v xml:space="preserve">  B.195.            </v>
          </cell>
          <cell r="E331" t="str">
            <v xml:space="preserve">      </v>
          </cell>
          <cell r="F331" t="str">
            <v>10.</v>
          </cell>
          <cell r="G331" t="str">
            <v xml:space="preserve">Fornecimento de Materiais para Instalações de Processo  </v>
          </cell>
          <cell r="H331" t="str">
            <v xml:space="preserve">      </v>
          </cell>
          <cell r="I331">
            <v>0</v>
          </cell>
          <cell r="J331">
            <v>0</v>
          </cell>
          <cell r="K331">
            <v>0</v>
          </cell>
          <cell r="L331">
            <v>0</v>
          </cell>
        </row>
        <row r="332">
          <cell r="D332" t="str">
            <v xml:space="preserve">  B.196.            </v>
          </cell>
          <cell r="E332" t="str">
            <v xml:space="preserve">      </v>
          </cell>
          <cell r="F332" t="str">
            <v>10.1.</v>
          </cell>
          <cell r="G332" t="str">
            <v xml:space="preserve">Tubos em polipropileno soldáveis conforme norma DIN-8077, pressão nominal de 10 kg/cm², TUBELLI ou similar  </v>
          </cell>
          <cell r="H332" t="str">
            <v xml:space="preserve">      </v>
          </cell>
          <cell r="I332">
            <v>0</v>
          </cell>
          <cell r="J332">
            <v>0</v>
          </cell>
          <cell r="K332">
            <v>0</v>
          </cell>
          <cell r="L332">
            <v>0</v>
          </cell>
        </row>
        <row r="333">
          <cell r="D333" t="str">
            <v xml:space="preserve">  B.197.            </v>
          </cell>
          <cell r="E333" t="str">
            <v>CP0731</v>
          </cell>
          <cell r="F333" t="str">
            <v>10.1.1.</v>
          </cell>
          <cell r="G333" t="str">
            <v xml:space="preserve">Tubos em polipropileno soldáveis conforme norma DIN-8077, pressão nominal de 10 kg/cm², TUBELLI ou similar Tubo DN 160  </v>
          </cell>
          <cell r="H333" t="str">
            <v xml:space="preserve">m     </v>
          </cell>
          <cell r="I333">
            <v>208</v>
          </cell>
          <cell r="J333">
            <v>59.49</v>
          </cell>
          <cell r="K333">
            <v>59.6</v>
          </cell>
          <cell r="L333">
            <v>12373.92</v>
          </cell>
        </row>
        <row r="334">
          <cell r="D334" t="str">
            <v xml:space="preserve">  B.198.            </v>
          </cell>
          <cell r="E334" t="str">
            <v>CP0738</v>
          </cell>
          <cell r="F334" t="str">
            <v>10.1.2.</v>
          </cell>
          <cell r="G334" t="str">
            <v xml:space="preserve">Tubos em polipropileno soldáveis conforme norma DIN-8077, pressão nominal de 10 kg/cm², TUBELLI ou similar Tubo DN 60  </v>
          </cell>
          <cell r="H334" t="str">
            <v xml:space="preserve">m     </v>
          </cell>
          <cell r="I334">
            <v>192</v>
          </cell>
          <cell r="J334">
            <v>11.21</v>
          </cell>
          <cell r="K334">
            <v>9.39</v>
          </cell>
          <cell r="L334">
            <v>2152.3200000000002</v>
          </cell>
        </row>
        <row r="335">
          <cell r="D335" t="str">
            <v xml:space="preserve">  B.199.            </v>
          </cell>
          <cell r="E335" t="str">
            <v>CP2205</v>
          </cell>
          <cell r="F335" t="str">
            <v>10.1.3.</v>
          </cell>
          <cell r="G335" t="str">
            <v xml:space="preserve">Tubos em polipropileno soldáveis conforme norma DIN-8077, pressão nominal de 10 kg/cm², TUBELLI ou similar Tubo DN 20  </v>
          </cell>
          <cell r="H335" t="str">
            <v xml:space="preserve">m     </v>
          </cell>
          <cell r="I335">
            <v>160</v>
          </cell>
          <cell r="J335">
            <v>1.72</v>
          </cell>
          <cell r="K335">
            <v>1.44</v>
          </cell>
          <cell r="L335">
            <v>275.2</v>
          </cell>
        </row>
        <row r="336">
          <cell r="D336" t="str">
            <v xml:space="preserve">  B.200.            </v>
          </cell>
          <cell r="E336" t="str">
            <v xml:space="preserve">      </v>
          </cell>
          <cell r="F336" t="str">
            <v>10.2.</v>
          </cell>
          <cell r="G336" t="str">
            <v xml:space="preserve">Conexões em polipropileno, pressão nominal de 10 kg/cm², TUBELLI ou similar  </v>
          </cell>
          <cell r="H336" t="str">
            <v xml:space="preserve">      </v>
          </cell>
          <cell r="I336">
            <v>0</v>
          </cell>
          <cell r="J336">
            <v>0</v>
          </cell>
          <cell r="K336">
            <v>0</v>
          </cell>
          <cell r="L336">
            <v>0</v>
          </cell>
        </row>
        <row r="337">
          <cell r="D337" t="str">
            <v xml:space="preserve">  B.201.            </v>
          </cell>
          <cell r="E337" t="str">
            <v>CP0730</v>
          </cell>
          <cell r="F337" t="str">
            <v>10.2.1.</v>
          </cell>
          <cell r="G337" t="str">
            <v xml:space="preserve">Conexões em polipropileno, pressão nominal de 10 kg/cm², TUBELLI ou similar Curva 90° soldável DN 160  </v>
          </cell>
          <cell r="H337" t="str">
            <v xml:space="preserve">pç    </v>
          </cell>
          <cell r="I337">
            <v>32</v>
          </cell>
          <cell r="J337">
            <v>103.85</v>
          </cell>
          <cell r="K337">
            <v>129.13</v>
          </cell>
          <cell r="L337">
            <v>3323.2</v>
          </cell>
        </row>
        <row r="338">
          <cell r="D338" t="str">
            <v xml:space="preserve">  B.202.            </v>
          </cell>
          <cell r="E338" t="str">
            <v>CP1767</v>
          </cell>
          <cell r="F338" t="str">
            <v>10.2.2.</v>
          </cell>
          <cell r="G338" t="str">
            <v xml:space="preserve">Conexões em polipropileno, pressão nominal de 10 kg/cm², TUBELLI ou similar Curva 45° soldável DN 160  </v>
          </cell>
          <cell r="H338" t="str">
            <v xml:space="preserve">pç    </v>
          </cell>
          <cell r="I338">
            <v>16</v>
          </cell>
          <cell r="J338">
            <v>60.56</v>
          </cell>
          <cell r="K338">
            <v>86.51</v>
          </cell>
          <cell r="L338">
            <v>968.96</v>
          </cell>
        </row>
        <row r="339">
          <cell r="D339" t="str">
            <v xml:space="preserve">  B.203.            </v>
          </cell>
          <cell r="E339" t="str">
            <v>CP1704</v>
          </cell>
          <cell r="F339" t="str">
            <v>10.2.3.</v>
          </cell>
          <cell r="G339" t="str">
            <v xml:space="preserve">Conexões em polipropileno, pressão nominal de 10 kg/cm², TUBELLI ou similar Flange soldável DN 160  </v>
          </cell>
          <cell r="H339" t="str">
            <v xml:space="preserve">pç    </v>
          </cell>
          <cell r="I339">
            <v>24</v>
          </cell>
          <cell r="J339">
            <v>118.95</v>
          </cell>
          <cell r="K339">
            <v>104.25</v>
          </cell>
          <cell r="L339">
            <v>2854.8</v>
          </cell>
        </row>
        <row r="340">
          <cell r="D340" t="str">
            <v xml:space="preserve">  B.204.            </v>
          </cell>
          <cell r="E340" t="str">
            <v>CP1927</v>
          </cell>
          <cell r="F340" t="str">
            <v>10.2.4.</v>
          </cell>
          <cell r="G340" t="str">
            <v xml:space="preserve">Conexões em polipropileno, pressão nominal de 10 kg/cm², TUBELLI ou similar Joelho 90° soldável DN 75  </v>
          </cell>
          <cell r="H340" t="str">
            <v xml:space="preserve">pç    </v>
          </cell>
          <cell r="I340">
            <v>3</v>
          </cell>
          <cell r="J340">
            <v>9.8000000000000007</v>
          </cell>
          <cell r="K340">
            <v>13.82</v>
          </cell>
          <cell r="L340">
            <v>29.4</v>
          </cell>
        </row>
        <row r="341">
          <cell r="D341" t="str">
            <v xml:space="preserve">  B.205.            </v>
          </cell>
          <cell r="E341" t="str">
            <v>CP2277</v>
          </cell>
          <cell r="F341" t="str">
            <v>10.2.5.</v>
          </cell>
          <cell r="G341" t="str">
            <v xml:space="preserve">Conexões em polipropileno, pressão nominal de 10 kg/cm², TUBELLI ou similar Joelho 90° soldável DN 20  </v>
          </cell>
          <cell r="H341" t="str">
            <v xml:space="preserve">pç    </v>
          </cell>
          <cell r="I341">
            <v>32</v>
          </cell>
          <cell r="J341">
            <v>1.97</v>
          </cell>
          <cell r="K341">
            <v>2.31</v>
          </cell>
          <cell r="L341">
            <v>63.04</v>
          </cell>
        </row>
        <row r="342">
          <cell r="D342" t="str">
            <v xml:space="preserve">  B.206.            </v>
          </cell>
          <cell r="E342" t="str">
            <v>CP1672</v>
          </cell>
          <cell r="F342" t="str">
            <v>10.2.6.</v>
          </cell>
          <cell r="G342" t="str">
            <v xml:space="preserve">Conexões em polipropileno, pressão nominal de 10 kg/cm², TUBELLI ou similar Tê de redução soldável DN 160 x 60  </v>
          </cell>
          <cell r="H342" t="str">
            <v xml:space="preserve">pç    </v>
          </cell>
          <cell r="I342">
            <v>40</v>
          </cell>
          <cell r="J342">
            <v>150.28</v>
          </cell>
          <cell r="K342">
            <v>212.38</v>
          </cell>
          <cell r="L342">
            <v>6011.2</v>
          </cell>
        </row>
        <row r="343">
          <cell r="D343" t="str">
            <v xml:space="preserve">  B.207.            </v>
          </cell>
          <cell r="E343" t="str">
            <v>CP2162</v>
          </cell>
          <cell r="F343" t="str">
            <v>10.2.7.</v>
          </cell>
          <cell r="G343" t="str">
            <v xml:space="preserve">Conexões em polipropileno, pressão nominal de 10 kg/cm², TUBELLI ou similar União com rosca DN 20 x 1/2  </v>
          </cell>
          <cell r="H343" t="str">
            <v xml:space="preserve">pç    </v>
          </cell>
          <cell r="I343">
            <v>16</v>
          </cell>
          <cell r="J343">
            <v>0.36</v>
          </cell>
          <cell r="K343">
            <v>0.3</v>
          </cell>
          <cell r="L343">
            <v>5.76</v>
          </cell>
        </row>
        <row r="344">
          <cell r="D344" t="str">
            <v xml:space="preserve">  B.208.            </v>
          </cell>
          <cell r="E344" t="str">
            <v>CP0717</v>
          </cell>
          <cell r="F344" t="str">
            <v>10.2.8.</v>
          </cell>
          <cell r="G344" t="str">
            <v xml:space="preserve">Conexões em polipropileno, pressão nominal de 10 kg/cm², TUBELLI ou similar União com rosca DN 60  </v>
          </cell>
          <cell r="H344" t="str">
            <v xml:space="preserve">pç    </v>
          </cell>
          <cell r="I344">
            <v>8</v>
          </cell>
          <cell r="J344">
            <v>14.94</v>
          </cell>
          <cell r="K344">
            <v>12.46</v>
          </cell>
          <cell r="L344">
            <v>119.52</v>
          </cell>
        </row>
        <row r="345">
          <cell r="D345" t="str">
            <v xml:space="preserve">  B.209.            </v>
          </cell>
          <cell r="E345" t="str">
            <v xml:space="preserve">      </v>
          </cell>
          <cell r="F345" t="str">
            <v>10.3.</v>
          </cell>
          <cell r="G345" t="str">
            <v xml:space="preserve">Adaptador soldável curto com bolsa e rosca p/ registro  </v>
          </cell>
          <cell r="H345" t="str">
            <v xml:space="preserve">      </v>
          </cell>
          <cell r="I345">
            <v>0</v>
          </cell>
          <cell r="J345">
            <v>0</v>
          </cell>
          <cell r="K345">
            <v>0</v>
          </cell>
          <cell r="L345">
            <v>0</v>
          </cell>
        </row>
        <row r="346">
          <cell r="D346" t="str">
            <v xml:space="preserve">  B.210.            </v>
          </cell>
          <cell r="E346" t="str">
            <v>CP0872</v>
          </cell>
          <cell r="F346" t="str">
            <v>10.3.1.</v>
          </cell>
          <cell r="G346" t="str">
            <v xml:space="preserve">Adaptador soldável curto com bolsa e rosca p/ registro DN 20 x 1/2  </v>
          </cell>
          <cell r="H346" t="str">
            <v xml:space="preserve">pç    </v>
          </cell>
          <cell r="I346">
            <v>24</v>
          </cell>
          <cell r="J346">
            <v>0.12</v>
          </cell>
          <cell r="K346">
            <v>0.1</v>
          </cell>
          <cell r="L346">
            <v>2.88</v>
          </cell>
        </row>
        <row r="347">
          <cell r="D347" t="str">
            <v xml:space="preserve">  B.211.            </v>
          </cell>
          <cell r="E347" t="str">
            <v xml:space="preserve">      </v>
          </cell>
          <cell r="F347" t="str">
            <v>10.4.</v>
          </cell>
          <cell r="G347" t="str">
            <v xml:space="preserve">Tubos em aço carbono sem costura, roscável SCHEDULE 40, zincados, MANNESMANN ou similar  </v>
          </cell>
          <cell r="H347" t="str">
            <v xml:space="preserve">      </v>
          </cell>
          <cell r="I347">
            <v>0</v>
          </cell>
          <cell r="J347">
            <v>0</v>
          </cell>
          <cell r="K347">
            <v>0</v>
          </cell>
          <cell r="L347">
            <v>0</v>
          </cell>
        </row>
        <row r="348">
          <cell r="D348" t="str">
            <v xml:space="preserve">  B.212.            </v>
          </cell>
          <cell r="E348" t="str">
            <v>CP1892</v>
          </cell>
          <cell r="F348" t="str">
            <v>10.4.1.</v>
          </cell>
          <cell r="G348" t="str">
            <v xml:space="preserve">Tubos em aço carbono sem costura, roscável SCHEDULE 40, zincados, MANNESMANN ou similar Tubo ø 2  </v>
          </cell>
          <cell r="H348" t="str">
            <v xml:space="preserve">m     </v>
          </cell>
          <cell r="I348">
            <v>16</v>
          </cell>
          <cell r="J348">
            <v>27.54</v>
          </cell>
          <cell r="K348">
            <v>37.17</v>
          </cell>
          <cell r="L348">
            <v>440.64</v>
          </cell>
        </row>
        <row r="349">
          <cell r="D349" t="str">
            <v xml:space="preserve">  B.213.            </v>
          </cell>
          <cell r="E349" t="str">
            <v>CP1920</v>
          </cell>
          <cell r="F349" t="str">
            <v>10.4.2.</v>
          </cell>
          <cell r="G349" t="str">
            <v xml:space="preserve">Tubos em aço carbono sem costura, roscável SCHEDULE 40, zincados, MANNESMANN ou similar Tubo ø 1 1/2  </v>
          </cell>
          <cell r="H349" t="str">
            <v xml:space="preserve">m     </v>
          </cell>
          <cell r="I349">
            <v>74</v>
          </cell>
          <cell r="J349">
            <v>22.34</v>
          </cell>
          <cell r="K349">
            <v>19.53</v>
          </cell>
          <cell r="L349">
            <v>1653.16</v>
          </cell>
        </row>
        <row r="350">
          <cell r="D350" t="str">
            <v xml:space="preserve">  B.214.            </v>
          </cell>
          <cell r="E350" t="str">
            <v>CP1938</v>
          </cell>
          <cell r="F350" t="str">
            <v>10.4.3.</v>
          </cell>
          <cell r="G350" t="str">
            <v xml:space="preserve">Tubos em aço carbono sem costura, roscável SCHEDULE 40, zincados, MANNESMANN ou similar Tubo ø 1 1/4  </v>
          </cell>
          <cell r="H350" t="str">
            <v xml:space="preserve">m     </v>
          </cell>
          <cell r="I350">
            <v>8</v>
          </cell>
          <cell r="J350">
            <v>19.66</v>
          </cell>
          <cell r="K350">
            <v>18.48</v>
          </cell>
          <cell r="L350">
            <v>157.28</v>
          </cell>
        </row>
        <row r="351">
          <cell r="D351" t="str">
            <v xml:space="preserve">  B.215.            </v>
          </cell>
          <cell r="E351" t="str">
            <v>CP1990</v>
          </cell>
          <cell r="F351" t="str">
            <v>10.4.4.</v>
          </cell>
          <cell r="G351" t="str">
            <v xml:space="preserve">Tubos em aço carbono sem costura, roscável SCHEDULE 40, zincados, MANNESMANN ou similar Tubo ø 1  </v>
          </cell>
          <cell r="H351" t="str">
            <v xml:space="preserve">m     </v>
          </cell>
          <cell r="I351">
            <v>18</v>
          </cell>
          <cell r="J351">
            <v>20.09</v>
          </cell>
          <cell r="K351">
            <v>28.7</v>
          </cell>
          <cell r="L351">
            <v>361.62</v>
          </cell>
        </row>
        <row r="352">
          <cell r="D352" t="str">
            <v xml:space="preserve">  B.216.            </v>
          </cell>
          <cell r="E352" t="str">
            <v>CP2013</v>
          </cell>
          <cell r="F352" t="str">
            <v>10.4.5.</v>
          </cell>
          <cell r="G352" t="str">
            <v xml:space="preserve">Tubos em aço carbono sem costura, roscável SCHEDULE 40, zincados, MANNESMANN ou similar Tubo ø 3/4  </v>
          </cell>
          <cell r="H352" t="str">
            <v xml:space="preserve">m     </v>
          </cell>
          <cell r="I352">
            <v>32</v>
          </cell>
          <cell r="J352">
            <v>16.440000000000001</v>
          </cell>
          <cell r="K352">
            <v>21.15</v>
          </cell>
          <cell r="L352">
            <v>526.08000000000004</v>
          </cell>
        </row>
        <row r="353">
          <cell r="D353" t="str">
            <v xml:space="preserve">  B.217.            </v>
          </cell>
          <cell r="E353" t="str">
            <v>CP2044</v>
          </cell>
          <cell r="F353" t="str">
            <v>10.4.6.</v>
          </cell>
          <cell r="G353" t="str">
            <v xml:space="preserve">Tubos em aço carbono sem costura, roscável SCHEDULE 40, zincados, MANNESMANN ou similar Tubo ø 1/2  </v>
          </cell>
          <cell r="H353" t="str">
            <v xml:space="preserve">m     </v>
          </cell>
          <cell r="I353">
            <v>8</v>
          </cell>
          <cell r="J353">
            <v>13.94</v>
          </cell>
          <cell r="K353">
            <v>18.829999999999998</v>
          </cell>
          <cell r="L353">
            <v>111.52</v>
          </cell>
        </row>
        <row r="354">
          <cell r="D354" t="str">
            <v xml:space="preserve">  B.218.            </v>
          </cell>
          <cell r="E354" t="str">
            <v xml:space="preserve">      </v>
          </cell>
          <cell r="F354" t="str">
            <v>10.5.</v>
          </cell>
          <cell r="G354" t="str">
            <v xml:space="preserve">Conexões de ferro maleável, classe 300 Lb, zincadas, TUPY ou similar:  </v>
          </cell>
          <cell r="H354" t="str">
            <v xml:space="preserve">      </v>
          </cell>
          <cell r="I354">
            <v>0</v>
          </cell>
          <cell r="J354">
            <v>0</v>
          </cell>
          <cell r="K354">
            <v>0</v>
          </cell>
          <cell r="L354">
            <v>0</v>
          </cell>
        </row>
        <row r="355">
          <cell r="D355" t="str">
            <v xml:space="preserve">  B.219.            </v>
          </cell>
          <cell r="E355" t="str">
            <v>CP2032</v>
          </cell>
          <cell r="F355" t="str">
            <v>10.5.1.</v>
          </cell>
          <cell r="G355" t="str">
            <v xml:space="preserve">Conexões de ferro maleável, classe 300 Lb, zincadas, TUPY ou similar: Tê de redução com rosca ø 1 x 3/4  </v>
          </cell>
          <cell r="H355" t="str">
            <v xml:space="preserve">pç    </v>
          </cell>
          <cell r="I355">
            <v>8</v>
          </cell>
          <cell r="J355">
            <v>3.71</v>
          </cell>
          <cell r="K355">
            <v>3.11</v>
          </cell>
          <cell r="L355">
            <v>29.68</v>
          </cell>
        </row>
        <row r="356">
          <cell r="D356" t="str">
            <v xml:space="preserve">  B.220.            </v>
          </cell>
          <cell r="E356" t="str">
            <v xml:space="preserve">      </v>
          </cell>
          <cell r="F356" t="str">
            <v>10.6.</v>
          </cell>
          <cell r="G356" t="str">
            <v xml:space="preserve">Conexões em ferro maleável, classe 10 zincadas, TUPY ou similar:  </v>
          </cell>
          <cell r="H356" t="str">
            <v xml:space="preserve">      </v>
          </cell>
          <cell r="I356">
            <v>0</v>
          </cell>
          <cell r="J356">
            <v>0</v>
          </cell>
          <cell r="K356">
            <v>0</v>
          </cell>
          <cell r="L356">
            <v>0</v>
          </cell>
        </row>
        <row r="357">
          <cell r="D357" t="str">
            <v xml:space="preserve">  B.221.            </v>
          </cell>
          <cell r="E357" t="str">
            <v>CP0945</v>
          </cell>
          <cell r="F357" t="str">
            <v>10.6.1.</v>
          </cell>
          <cell r="G357" t="str">
            <v xml:space="preserve">Conexões em ferro maleável, classe 10 zincadas, TUPY ou similar: Bucha de redução c/ rosca ø 1 x 3/4  </v>
          </cell>
          <cell r="H357" t="str">
            <v xml:space="preserve">pç    </v>
          </cell>
          <cell r="I357">
            <v>8</v>
          </cell>
          <cell r="J357">
            <v>0.94</v>
          </cell>
          <cell r="K357">
            <v>0.79</v>
          </cell>
          <cell r="L357">
            <v>7.52</v>
          </cell>
        </row>
        <row r="358">
          <cell r="D358" t="str">
            <v xml:space="preserve">  B.222.            </v>
          </cell>
          <cell r="E358" t="str">
            <v>CP0947</v>
          </cell>
          <cell r="F358" t="str">
            <v>10.6.2.</v>
          </cell>
          <cell r="G358" t="str">
            <v xml:space="preserve">Conexões em ferro maleável, classe 10 zincadas, TUPY ou similar: Bucha de redução c/ rosca ø 3/4 x 1/2  </v>
          </cell>
          <cell r="H358" t="str">
            <v xml:space="preserve">pç    </v>
          </cell>
          <cell r="I358">
            <v>10</v>
          </cell>
          <cell r="J358">
            <v>2.27</v>
          </cell>
          <cell r="K358">
            <v>1.9</v>
          </cell>
          <cell r="L358">
            <v>22.7</v>
          </cell>
        </row>
        <row r="359">
          <cell r="D359" t="str">
            <v xml:space="preserve">  B.223.            </v>
          </cell>
          <cell r="E359" t="str">
            <v>CP2003</v>
          </cell>
          <cell r="F359" t="str">
            <v>10.6.3.</v>
          </cell>
          <cell r="G359" t="str">
            <v xml:space="preserve">Conexões em ferro maleável, classe 10 zincadas, TUPY ou similar: Cotovelo 45o com rosca ø 2  </v>
          </cell>
          <cell r="H359" t="str">
            <v xml:space="preserve">pç    </v>
          </cell>
          <cell r="I359">
            <v>32</v>
          </cell>
          <cell r="J359">
            <v>17.579999999999998</v>
          </cell>
          <cell r="K359">
            <v>21.58</v>
          </cell>
          <cell r="L359">
            <v>562.55999999999995</v>
          </cell>
        </row>
        <row r="360">
          <cell r="D360" t="str">
            <v xml:space="preserve">  B.224.            </v>
          </cell>
          <cell r="E360" t="str">
            <v>CP2078</v>
          </cell>
          <cell r="F360" t="str">
            <v>10.6.4.</v>
          </cell>
          <cell r="G360" t="str">
            <v xml:space="preserve">Conexões em ferro maleável, classe 10 zincadas, TUPY ou similar: Cotovelo de saída lateral ø 1  </v>
          </cell>
          <cell r="H360" t="str">
            <v xml:space="preserve">pç    </v>
          </cell>
          <cell r="I360">
            <v>8</v>
          </cell>
          <cell r="J360">
            <v>12.55</v>
          </cell>
          <cell r="K360">
            <v>15.36</v>
          </cell>
          <cell r="L360">
            <v>100.4</v>
          </cell>
        </row>
        <row r="361">
          <cell r="D361" t="str">
            <v xml:space="preserve">  B.225.            </v>
          </cell>
          <cell r="E361" t="str">
            <v>CP2079</v>
          </cell>
          <cell r="F361" t="str">
            <v>10.6.5.</v>
          </cell>
          <cell r="G361" t="str">
            <v xml:space="preserve">Conexões em ferro maleável, classe 10 zincadas, TUPY ou similar: Cotovelo 90° com rosca ø 1 1/2  </v>
          </cell>
          <cell r="H361" t="str">
            <v xml:space="preserve">pç    </v>
          </cell>
          <cell r="I361">
            <v>13</v>
          </cell>
          <cell r="J361">
            <v>12.03</v>
          </cell>
          <cell r="K361">
            <v>14.57</v>
          </cell>
          <cell r="L361">
            <v>156.38999999999999</v>
          </cell>
        </row>
        <row r="362">
          <cell r="D362" t="str">
            <v xml:space="preserve">  B.226.            </v>
          </cell>
          <cell r="E362" t="str">
            <v>CP2124</v>
          </cell>
          <cell r="F362" t="str">
            <v>10.6.6.</v>
          </cell>
          <cell r="G362" t="str">
            <v xml:space="preserve">Conexões em ferro maleável, classe 10 zincadas, TUPY ou similar: Cotovelo 90° com rosca ø 1 1/4  </v>
          </cell>
          <cell r="H362" t="str">
            <v xml:space="preserve">pç    </v>
          </cell>
          <cell r="I362">
            <v>16</v>
          </cell>
          <cell r="J362">
            <v>8.5299999999999994</v>
          </cell>
          <cell r="K362">
            <v>10.35</v>
          </cell>
          <cell r="L362">
            <v>136.47999999999999</v>
          </cell>
        </row>
        <row r="363">
          <cell r="D363" t="str">
            <v xml:space="preserve">  B.227.            </v>
          </cell>
          <cell r="E363" t="str">
            <v>CP2180</v>
          </cell>
          <cell r="F363" t="str">
            <v>10.6.7.</v>
          </cell>
          <cell r="G363" t="str">
            <v xml:space="preserve">Conexões em ferro maleável, classe 10 zincadas, TUPY ou similar: Cotovelo 90° com rosca ø 1  </v>
          </cell>
          <cell r="H363" t="str">
            <v xml:space="preserve">pç    </v>
          </cell>
          <cell r="I363">
            <v>32</v>
          </cell>
          <cell r="J363">
            <v>10.75</v>
          </cell>
          <cell r="K363">
            <v>15.36</v>
          </cell>
          <cell r="L363">
            <v>344</v>
          </cell>
        </row>
        <row r="364">
          <cell r="D364" t="str">
            <v xml:space="preserve">  B.228.            </v>
          </cell>
          <cell r="E364" t="str">
            <v>CP2242</v>
          </cell>
          <cell r="F364" t="str">
            <v>10.6.8.</v>
          </cell>
          <cell r="G364" t="str">
            <v xml:space="preserve">Conexões em ferro maleável, classe 10 zincadas, TUPY ou similar: Cotovelo 90° com rosca ø 3/4  </v>
          </cell>
          <cell r="H364" t="str">
            <v xml:space="preserve">pç    </v>
          </cell>
          <cell r="I364">
            <v>44</v>
          </cell>
          <cell r="J364">
            <v>1.82</v>
          </cell>
          <cell r="K364">
            <v>1.52</v>
          </cell>
          <cell r="L364">
            <v>80.08</v>
          </cell>
        </row>
        <row r="365">
          <cell r="D365" t="str">
            <v xml:space="preserve">  B.229.            </v>
          </cell>
          <cell r="E365" t="str">
            <v>CP2266</v>
          </cell>
          <cell r="F365" t="str">
            <v>10.6.9.</v>
          </cell>
          <cell r="G365" t="str">
            <v xml:space="preserve">Conexões em ferro maleável, classe 10 zincadas, TUPY ou similar: Cotovelo 90° com rosca ø 1/2  </v>
          </cell>
          <cell r="H365" t="str">
            <v xml:space="preserve">pç    </v>
          </cell>
          <cell r="I365">
            <v>53</v>
          </cell>
          <cell r="J365">
            <v>1.1299999999999999</v>
          </cell>
          <cell r="K365">
            <v>0.94</v>
          </cell>
          <cell r="L365">
            <v>59.89</v>
          </cell>
        </row>
        <row r="366">
          <cell r="D366" t="str">
            <v xml:space="preserve">  B.230.            </v>
          </cell>
          <cell r="E366" t="str">
            <v>CP0794</v>
          </cell>
          <cell r="F366" t="str">
            <v>10.6.10.</v>
          </cell>
          <cell r="G366" t="str">
            <v xml:space="preserve">Conexões em ferro maleável, classe 10 zincadas, TUPY ou similar: Luva com rosca ø 2  </v>
          </cell>
          <cell r="H366" t="str">
            <v xml:space="preserve">pç    </v>
          </cell>
          <cell r="I366">
            <v>24</v>
          </cell>
          <cell r="J366">
            <v>6.31</v>
          </cell>
          <cell r="K366">
            <v>5.28</v>
          </cell>
          <cell r="L366">
            <v>151.44</v>
          </cell>
        </row>
        <row r="367">
          <cell r="D367" t="str">
            <v xml:space="preserve">  B.231.            </v>
          </cell>
          <cell r="E367" t="str">
            <v>CP0941</v>
          </cell>
          <cell r="F367" t="str">
            <v>10.6.11.</v>
          </cell>
          <cell r="G367" t="str">
            <v xml:space="preserve">Conexões em ferro maleável, classe 10 zincadas, TUPY ou similar: Luva com rosca ø 1  </v>
          </cell>
          <cell r="H367" t="str">
            <v xml:space="preserve">pç    </v>
          </cell>
          <cell r="I367">
            <v>16</v>
          </cell>
          <cell r="J367">
            <v>4.45</v>
          </cell>
          <cell r="K367">
            <v>3.71</v>
          </cell>
          <cell r="L367">
            <v>71.2</v>
          </cell>
        </row>
        <row r="368">
          <cell r="D368" t="str">
            <v xml:space="preserve">  B.232.            </v>
          </cell>
          <cell r="E368" t="str">
            <v>CP0795</v>
          </cell>
          <cell r="F368" t="str">
            <v>10.6.12.</v>
          </cell>
          <cell r="G368" t="str">
            <v xml:space="preserve">Conexões em ferro maleável, classe 10 zincadas, TUPY ou similar: Luva com rosca ø 1 1/2  </v>
          </cell>
          <cell r="H368" t="str">
            <v xml:space="preserve">pç    </v>
          </cell>
          <cell r="I368">
            <v>6</v>
          </cell>
          <cell r="J368">
            <v>5.33</v>
          </cell>
          <cell r="K368">
            <v>4.45</v>
          </cell>
          <cell r="L368">
            <v>31.98</v>
          </cell>
        </row>
        <row r="369">
          <cell r="D369" t="str">
            <v xml:space="preserve">  B.233.            </v>
          </cell>
          <cell r="E369" t="str">
            <v>CP0796</v>
          </cell>
          <cell r="F369" t="str">
            <v>10.6.13.</v>
          </cell>
          <cell r="G369" t="str">
            <v xml:space="preserve">Conexões em ferro maleável, classe 10 zincadas, TUPY ou similar: Luva com rosca ø 1 1/4  </v>
          </cell>
          <cell r="H369" t="str">
            <v xml:space="preserve">pç    </v>
          </cell>
          <cell r="I369">
            <v>8</v>
          </cell>
          <cell r="J369">
            <v>1.79</v>
          </cell>
          <cell r="K369">
            <v>1.5</v>
          </cell>
          <cell r="L369">
            <v>14.32</v>
          </cell>
        </row>
        <row r="370">
          <cell r="D370" t="str">
            <v xml:space="preserve">  B.234.            </v>
          </cell>
          <cell r="E370" t="str">
            <v>CP0942</v>
          </cell>
          <cell r="F370" t="str">
            <v>10.6.14.</v>
          </cell>
          <cell r="G370" t="str">
            <v xml:space="preserve">Conexões em ferro maleável, classe 10 zincadas, TUPY ou similar: Luva com rosca ø 3/4  </v>
          </cell>
          <cell r="H370" t="str">
            <v xml:space="preserve">pç    </v>
          </cell>
          <cell r="I370">
            <v>8</v>
          </cell>
          <cell r="J370">
            <v>2.97</v>
          </cell>
          <cell r="K370">
            <v>2.48</v>
          </cell>
          <cell r="L370">
            <v>23.76</v>
          </cell>
        </row>
        <row r="371">
          <cell r="D371" t="str">
            <v xml:space="preserve">  B.235.            </v>
          </cell>
          <cell r="E371" t="str">
            <v>CP0943</v>
          </cell>
          <cell r="F371" t="str">
            <v>10.6.15.</v>
          </cell>
          <cell r="G371" t="str">
            <v xml:space="preserve">Conexões em ferro maleável, classe 10 zincadas, TUPY ou similar: Luva com rosca ø 1/2  </v>
          </cell>
          <cell r="H371" t="str">
            <v xml:space="preserve">pç    </v>
          </cell>
          <cell r="I371">
            <v>4</v>
          </cell>
          <cell r="J371">
            <v>1.98</v>
          </cell>
          <cell r="K371">
            <v>1.65</v>
          </cell>
          <cell r="L371">
            <v>7.92</v>
          </cell>
        </row>
        <row r="372">
          <cell r="D372" t="str">
            <v xml:space="preserve">  B.236.            </v>
          </cell>
          <cell r="E372" t="str">
            <v>CP0940</v>
          </cell>
          <cell r="F372" t="str">
            <v>10.6.16.</v>
          </cell>
          <cell r="G372" t="str">
            <v xml:space="preserve">Conexões em ferro maleável, classe 10 zincadas, TUPY ou similar: Luva de redução c/ rosca ø 1 1/2 x 1  </v>
          </cell>
          <cell r="H372" t="str">
            <v xml:space="preserve">pç    </v>
          </cell>
          <cell r="I372">
            <v>2</v>
          </cell>
          <cell r="J372">
            <v>3.87</v>
          </cell>
          <cell r="K372">
            <v>3.24</v>
          </cell>
          <cell r="L372">
            <v>7.74</v>
          </cell>
        </row>
        <row r="373">
          <cell r="D373" t="str">
            <v xml:space="preserve">  B.237.            </v>
          </cell>
          <cell r="E373" t="str">
            <v>CP0774</v>
          </cell>
          <cell r="F373" t="str">
            <v>10.6.17.</v>
          </cell>
          <cell r="G373" t="str">
            <v xml:space="preserve">Conexões em ferro maleável, classe 10 zincadas, TUPY ou similar: Niple duplo com rosca ø 2  </v>
          </cell>
          <cell r="H373" t="str">
            <v xml:space="preserve">pç    </v>
          </cell>
          <cell r="I373">
            <v>48</v>
          </cell>
          <cell r="J373">
            <v>6.18</v>
          </cell>
          <cell r="K373">
            <v>5.18</v>
          </cell>
          <cell r="L373">
            <v>296.64</v>
          </cell>
        </row>
        <row r="374">
          <cell r="D374" t="str">
            <v xml:space="preserve">  B.238.            </v>
          </cell>
          <cell r="E374" t="str">
            <v>CP0935</v>
          </cell>
          <cell r="F374" t="str">
            <v>10.6.18.</v>
          </cell>
          <cell r="G374" t="str">
            <v xml:space="preserve">Conexões em ferro maleável, classe 10 zincadas, TUPY ou similar: Niple duplo com rosca ø 1 1/ 2  </v>
          </cell>
          <cell r="H374" t="str">
            <v xml:space="preserve">pç    </v>
          </cell>
          <cell r="I374">
            <v>44</v>
          </cell>
          <cell r="J374">
            <v>2.85</v>
          </cell>
          <cell r="K374">
            <v>2.38</v>
          </cell>
          <cell r="L374">
            <v>125.4</v>
          </cell>
        </row>
        <row r="375">
          <cell r="D375" t="str">
            <v xml:space="preserve">  B.239.            </v>
          </cell>
          <cell r="E375" t="str">
            <v>CP0936</v>
          </cell>
          <cell r="F375" t="str">
            <v>10.6.19.</v>
          </cell>
          <cell r="G375" t="str">
            <v xml:space="preserve">Conexões em ferro maleável, classe 10 zincadas, TUPY ou similar: Niple duplo com rosca ø 1  </v>
          </cell>
          <cell r="H375" t="str">
            <v xml:space="preserve">pç    </v>
          </cell>
          <cell r="I375">
            <v>50</v>
          </cell>
          <cell r="J375">
            <v>3.94</v>
          </cell>
          <cell r="K375">
            <v>3.3</v>
          </cell>
          <cell r="L375">
            <v>197</v>
          </cell>
        </row>
        <row r="376">
          <cell r="D376" t="str">
            <v xml:space="preserve">  B.240.            </v>
          </cell>
          <cell r="E376" t="str">
            <v>CP0775</v>
          </cell>
          <cell r="F376" t="str">
            <v>10.6.20.</v>
          </cell>
          <cell r="G376" t="str">
            <v xml:space="preserve">Conexões em ferro maleável, classe 10 zincadas, TUPY ou similar: Niple duplo com rosca ø 3/4  </v>
          </cell>
          <cell r="H376" t="str">
            <v xml:space="preserve">pç    </v>
          </cell>
          <cell r="I376">
            <v>144</v>
          </cell>
          <cell r="J376">
            <v>1.62</v>
          </cell>
          <cell r="K376">
            <v>1.95</v>
          </cell>
          <cell r="L376">
            <v>233.28</v>
          </cell>
        </row>
        <row r="377">
          <cell r="D377" t="str">
            <v xml:space="preserve">  B.241.            </v>
          </cell>
          <cell r="E377" t="str">
            <v>CP0938</v>
          </cell>
          <cell r="F377" t="str">
            <v>10.6.21.</v>
          </cell>
          <cell r="G377" t="str">
            <v xml:space="preserve">Conexões em ferro maleável, classe 10 zincadas, TUPY ou similar: Niple duplo com rosca ø 1/2  </v>
          </cell>
          <cell r="H377" t="str">
            <v xml:space="preserve">pç    </v>
          </cell>
          <cell r="I377">
            <v>35</v>
          </cell>
          <cell r="J377">
            <v>1.62</v>
          </cell>
          <cell r="K377">
            <v>1.35</v>
          </cell>
          <cell r="L377">
            <v>56.7</v>
          </cell>
        </row>
        <row r="378">
          <cell r="D378" t="str">
            <v xml:space="preserve">  B.242.            </v>
          </cell>
          <cell r="E378" t="str">
            <v>CP0749</v>
          </cell>
          <cell r="F378" t="str">
            <v>10.6.22.</v>
          </cell>
          <cell r="G378" t="str">
            <v xml:space="preserve">Conexões em ferro maleável, classe 10 zincadas, TUPY ou similar: Tê com rosca ø 3/4  </v>
          </cell>
          <cell r="H378" t="str">
            <v xml:space="preserve">pç    </v>
          </cell>
          <cell r="I378">
            <v>16</v>
          </cell>
          <cell r="J378">
            <v>2.02</v>
          </cell>
          <cell r="K378">
            <v>1.69</v>
          </cell>
          <cell r="L378">
            <v>32.32</v>
          </cell>
        </row>
        <row r="379">
          <cell r="D379" t="str">
            <v xml:space="preserve">  B.243.            </v>
          </cell>
          <cell r="E379" t="str">
            <v>CP0751</v>
          </cell>
          <cell r="F379" t="str">
            <v>10.6.23.</v>
          </cell>
          <cell r="G379" t="str">
            <v xml:space="preserve">Conexões em ferro maleável, classe 10 zincadas, TUPY ou similar: Tê com rosca ø 1/2  </v>
          </cell>
          <cell r="H379" t="str">
            <v xml:space="preserve">pç    </v>
          </cell>
          <cell r="I379">
            <v>46</v>
          </cell>
          <cell r="J379">
            <v>1.35</v>
          </cell>
          <cell r="K379">
            <v>1.1299999999999999</v>
          </cell>
          <cell r="L379">
            <v>62.1</v>
          </cell>
        </row>
        <row r="380">
          <cell r="D380" t="str">
            <v xml:space="preserve">  B.244.            </v>
          </cell>
          <cell r="E380" t="str">
            <v>CP2071</v>
          </cell>
          <cell r="F380" t="str">
            <v>10.6.24.</v>
          </cell>
          <cell r="G380" t="str">
            <v xml:space="preserve">Conexões em ferro maleável, classe 10 zincadas, TUPY ou similar: Tê de redução ø 1 1/4 x 3/4  </v>
          </cell>
          <cell r="H380" t="str">
            <v xml:space="preserve">pç    </v>
          </cell>
          <cell r="I380">
            <v>8</v>
          </cell>
          <cell r="J380">
            <v>32.33</v>
          </cell>
          <cell r="K380">
            <v>46.19</v>
          </cell>
          <cell r="L380">
            <v>258.64</v>
          </cell>
        </row>
        <row r="381">
          <cell r="D381" t="str">
            <v xml:space="preserve">  B.245.            </v>
          </cell>
          <cell r="E381" t="str">
            <v>CP2197</v>
          </cell>
          <cell r="F381" t="str">
            <v>10.6.25.</v>
          </cell>
          <cell r="G381" t="str">
            <v xml:space="preserve">Conexões em ferro maleável, classe 10 zincadas, TUPY ou similar: Tê de redução com rosca ø 3/4 x 1/2  </v>
          </cell>
          <cell r="H381" t="str">
            <v xml:space="preserve">pç    </v>
          </cell>
          <cell r="I381">
            <v>24</v>
          </cell>
          <cell r="J381">
            <v>4.6399999999999997</v>
          </cell>
          <cell r="K381">
            <v>5.66</v>
          </cell>
          <cell r="L381">
            <v>111.36</v>
          </cell>
        </row>
        <row r="382">
          <cell r="D382" t="str">
            <v xml:space="preserve">  B.246.            </v>
          </cell>
          <cell r="E382" t="str">
            <v>CP0798</v>
          </cell>
          <cell r="F382" t="str">
            <v>10.6.26.</v>
          </cell>
          <cell r="G382" t="str">
            <v xml:space="preserve">Conexões em ferro maleável, classe 10 zincadas, TUPY ou similar: União com rosca ø 2  </v>
          </cell>
          <cell r="H382" t="str">
            <v xml:space="preserve">pç    </v>
          </cell>
          <cell r="I382">
            <v>16</v>
          </cell>
          <cell r="J382">
            <v>6.32</v>
          </cell>
          <cell r="K382">
            <v>5.28</v>
          </cell>
          <cell r="L382">
            <v>101.12</v>
          </cell>
        </row>
        <row r="383">
          <cell r="D383" t="str">
            <v xml:space="preserve">  B.247.            </v>
          </cell>
          <cell r="E383" t="str">
            <v>CP0800</v>
          </cell>
          <cell r="F383" t="str">
            <v>10.6.27.</v>
          </cell>
          <cell r="G383" t="str">
            <v xml:space="preserve">Conexões em ferro maleável, classe 10 zincadas, TUPY ou similar: União com rosca ø 1 1/2  </v>
          </cell>
          <cell r="H383" t="str">
            <v xml:space="preserve">pç    </v>
          </cell>
          <cell r="I383">
            <v>6</v>
          </cell>
          <cell r="J383">
            <v>11.54</v>
          </cell>
          <cell r="K383">
            <v>9.6300000000000008</v>
          </cell>
          <cell r="L383">
            <v>69.239999999999995</v>
          </cell>
        </row>
        <row r="384">
          <cell r="D384" t="str">
            <v xml:space="preserve">  B.248.            </v>
          </cell>
          <cell r="E384" t="str">
            <v>CP0802</v>
          </cell>
          <cell r="F384" t="str">
            <v>10.6.28.</v>
          </cell>
          <cell r="G384" t="str">
            <v xml:space="preserve">Conexões em ferro maleável, classe 10 zincadas, TUPY ou similar: União com rosca ø 1 1/4  </v>
          </cell>
          <cell r="H384" t="str">
            <v xml:space="preserve">pç    </v>
          </cell>
          <cell r="I384">
            <v>16</v>
          </cell>
          <cell r="J384">
            <v>1.79</v>
          </cell>
          <cell r="K384">
            <v>1.5</v>
          </cell>
          <cell r="L384">
            <v>28.64</v>
          </cell>
        </row>
        <row r="385">
          <cell r="D385" t="str">
            <v xml:space="preserve">  B.249.            </v>
          </cell>
          <cell r="E385" t="str">
            <v>CP0917</v>
          </cell>
          <cell r="F385" t="str">
            <v>10.6.29.</v>
          </cell>
          <cell r="G385" t="str">
            <v xml:space="preserve">Conexões em ferro maleável, classe 10 zincadas, TUPY ou similar: União com rosca ø 1  </v>
          </cell>
          <cell r="H385" t="str">
            <v xml:space="preserve">pç    </v>
          </cell>
          <cell r="I385">
            <v>48</v>
          </cell>
          <cell r="J385">
            <v>6.21</v>
          </cell>
          <cell r="K385">
            <v>5.2</v>
          </cell>
          <cell r="L385">
            <v>298.08</v>
          </cell>
        </row>
        <row r="386">
          <cell r="D386" t="str">
            <v xml:space="preserve">  B.250.            </v>
          </cell>
          <cell r="E386" t="str">
            <v>CP0919</v>
          </cell>
          <cell r="F386" t="str">
            <v>10.6.30.</v>
          </cell>
          <cell r="G386" t="str">
            <v xml:space="preserve">Conexões em ferro maleável, classe 10 zincadas, TUPY ou similar: União com rosca ø 3/4  </v>
          </cell>
          <cell r="H386" t="str">
            <v xml:space="preserve">pç    </v>
          </cell>
          <cell r="I386">
            <v>72</v>
          </cell>
          <cell r="J386">
            <v>5.65</v>
          </cell>
          <cell r="K386">
            <v>4.72</v>
          </cell>
          <cell r="L386">
            <v>406.8</v>
          </cell>
        </row>
        <row r="387">
          <cell r="D387" t="str">
            <v xml:space="preserve">  B.251.            </v>
          </cell>
          <cell r="E387" t="str">
            <v>CP0923</v>
          </cell>
          <cell r="F387" t="str">
            <v>10.6.31.</v>
          </cell>
          <cell r="G387" t="str">
            <v xml:space="preserve">Conexões em ferro maleável, classe 10 zincadas, TUPY ou similar: União com rosca ø 1/2  </v>
          </cell>
          <cell r="H387" t="str">
            <v xml:space="preserve">pç    </v>
          </cell>
          <cell r="I387">
            <v>1</v>
          </cell>
          <cell r="J387">
            <v>3.97</v>
          </cell>
          <cell r="K387">
            <v>3.32</v>
          </cell>
          <cell r="L387">
            <v>3.97</v>
          </cell>
        </row>
        <row r="388">
          <cell r="D388" t="str">
            <v xml:space="preserve">  B.252.            </v>
          </cell>
          <cell r="E388" t="str">
            <v xml:space="preserve">      </v>
          </cell>
          <cell r="F388" t="str">
            <v>10.7.</v>
          </cell>
          <cell r="G388" t="str">
            <v xml:space="preserve">Tubo em PVC rígido TIGRE ou similar:  </v>
          </cell>
          <cell r="H388" t="str">
            <v xml:space="preserve">      </v>
          </cell>
          <cell r="I388">
            <v>0</v>
          </cell>
          <cell r="J388">
            <v>0</v>
          </cell>
          <cell r="K388">
            <v>0</v>
          </cell>
          <cell r="L388">
            <v>0</v>
          </cell>
        </row>
        <row r="389">
          <cell r="D389" t="str">
            <v xml:space="preserve">  B.253.            </v>
          </cell>
          <cell r="E389" t="str">
            <v>CP0806</v>
          </cell>
          <cell r="F389" t="str">
            <v>10.7.1.</v>
          </cell>
          <cell r="G389" t="str">
            <v xml:space="preserve">Tubo em PVC rígido TIGRE ou similar: Tubo roscável ø 2  </v>
          </cell>
          <cell r="H389" t="str">
            <v xml:space="preserve">m     </v>
          </cell>
          <cell r="I389">
            <v>66</v>
          </cell>
          <cell r="J389">
            <v>11.23</v>
          </cell>
          <cell r="K389">
            <v>9.39</v>
          </cell>
          <cell r="L389">
            <v>741.18</v>
          </cell>
        </row>
        <row r="390">
          <cell r="D390" t="str">
            <v xml:space="preserve">  B.254.            </v>
          </cell>
          <cell r="E390" t="str">
            <v>CP0807</v>
          </cell>
          <cell r="F390" t="str">
            <v>10.7.2.</v>
          </cell>
          <cell r="G390" t="str">
            <v xml:space="preserve">Tubo em PVC rígido TIGRE ou similar: Tubo roscável ø 1 1/2  </v>
          </cell>
          <cell r="H390" t="str">
            <v xml:space="preserve">m     </v>
          </cell>
          <cell r="I390">
            <v>192</v>
          </cell>
          <cell r="J390">
            <v>7.62</v>
          </cell>
          <cell r="K390">
            <v>6.4</v>
          </cell>
          <cell r="L390">
            <v>1463.04</v>
          </cell>
        </row>
        <row r="391">
          <cell r="D391" t="str">
            <v xml:space="preserve">  B.255.            </v>
          </cell>
          <cell r="E391" t="str">
            <v>CP0875</v>
          </cell>
          <cell r="F391" t="str">
            <v>10.7.3.</v>
          </cell>
          <cell r="G391" t="str">
            <v xml:space="preserve">Tubo em PVC rígido TIGRE ou similar: Tubo soldável D 110  </v>
          </cell>
          <cell r="H391" t="str">
            <v xml:space="preserve">m     </v>
          </cell>
          <cell r="I391">
            <v>138</v>
          </cell>
          <cell r="J391">
            <v>26.93</v>
          </cell>
          <cell r="K391">
            <v>22.51</v>
          </cell>
          <cell r="L391">
            <v>3716.34</v>
          </cell>
        </row>
        <row r="392">
          <cell r="D392" t="str">
            <v xml:space="preserve">  B.256.            </v>
          </cell>
          <cell r="E392" t="str">
            <v>CP0781</v>
          </cell>
          <cell r="F392" t="str">
            <v>10.7.4.</v>
          </cell>
          <cell r="G392" t="str">
            <v xml:space="preserve">Tubo em PVC rígido TIGRE ou similar: Tubo soldável D 75  </v>
          </cell>
          <cell r="H392" t="str">
            <v xml:space="preserve">m     </v>
          </cell>
          <cell r="I392">
            <v>126</v>
          </cell>
          <cell r="J392">
            <v>12.85</v>
          </cell>
          <cell r="K392">
            <v>10.76</v>
          </cell>
          <cell r="L392">
            <v>1619.1</v>
          </cell>
        </row>
        <row r="393">
          <cell r="D393" t="str">
            <v xml:space="preserve">  B.257.            </v>
          </cell>
          <cell r="E393" t="str">
            <v xml:space="preserve">      </v>
          </cell>
          <cell r="F393" t="str">
            <v>10.8.</v>
          </cell>
          <cell r="G393" t="str">
            <v xml:space="preserve">Conexões em PVC rígido TIGRE ou similar  </v>
          </cell>
          <cell r="H393" t="str">
            <v xml:space="preserve">      </v>
          </cell>
          <cell r="I393">
            <v>0</v>
          </cell>
          <cell r="J393">
            <v>0</v>
          </cell>
          <cell r="K393">
            <v>0</v>
          </cell>
          <cell r="L393">
            <v>0</v>
          </cell>
        </row>
        <row r="394">
          <cell r="D394" t="str">
            <v xml:space="preserve">  B.258.            </v>
          </cell>
          <cell r="E394" t="str">
            <v>CP0790</v>
          </cell>
          <cell r="F394" t="str">
            <v>10.8.1.</v>
          </cell>
          <cell r="G394" t="str">
            <v xml:space="preserve">Conexões em PVC rígido TIGRE ou similar Bucha de redução com rosca ø 2 x 1 1/2  </v>
          </cell>
          <cell r="H394" t="str">
            <v xml:space="preserve">pç    </v>
          </cell>
          <cell r="I394">
            <v>32</v>
          </cell>
          <cell r="J394">
            <v>4.7</v>
          </cell>
          <cell r="K394">
            <v>3.92</v>
          </cell>
          <cell r="L394">
            <v>150.4</v>
          </cell>
        </row>
        <row r="395">
          <cell r="D395" t="str">
            <v xml:space="preserve">  B.259.            </v>
          </cell>
          <cell r="E395" t="str">
            <v>CP0914</v>
          </cell>
          <cell r="F395" t="str">
            <v>10.8.2.</v>
          </cell>
          <cell r="G395" t="str">
            <v xml:space="preserve">Conexões em PVC rígido TIGRE ou similar Cap com rosca ø 1 1/2  </v>
          </cell>
          <cell r="H395" t="str">
            <v xml:space="preserve">pç    </v>
          </cell>
          <cell r="I395">
            <v>256</v>
          </cell>
          <cell r="J395">
            <v>4.1500000000000004</v>
          </cell>
          <cell r="K395">
            <v>3.48</v>
          </cell>
          <cell r="L395">
            <v>1062.4000000000001</v>
          </cell>
        </row>
        <row r="396">
          <cell r="D396" t="str">
            <v xml:space="preserve">  B.260.            </v>
          </cell>
          <cell r="E396" t="str">
            <v>CP1853</v>
          </cell>
          <cell r="F396" t="str">
            <v>10.8.3.</v>
          </cell>
          <cell r="G396" t="str">
            <v xml:space="preserve">Conexões em PVC rígido TIGRE ou similar Flange c/ sextavado com rosca e sem furos ø 4  </v>
          </cell>
          <cell r="H396" t="str">
            <v xml:space="preserve">pç    </v>
          </cell>
          <cell r="I396">
            <v>4</v>
          </cell>
          <cell r="J396">
            <v>73.650000000000006</v>
          </cell>
          <cell r="K396">
            <v>103.53</v>
          </cell>
          <cell r="L396">
            <v>294.60000000000002</v>
          </cell>
        </row>
        <row r="397">
          <cell r="D397" t="str">
            <v xml:space="preserve">  B.261.            </v>
          </cell>
          <cell r="E397" t="str">
            <v>CP1942</v>
          </cell>
          <cell r="F397" t="str">
            <v>10.8.4.</v>
          </cell>
          <cell r="G397" t="str">
            <v xml:space="preserve">Conexões em PVC rígido TIGRE ou similar Flange c/ sextavado c/ rosca e sem furos ø 2 1/2  </v>
          </cell>
          <cell r="H397" t="str">
            <v xml:space="preserve">pç    </v>
          </cell>
          <cell r="I397">
            <v>8</v>
          </cell>
          <cell r="J397">
            <v>38.11</v>
          </cell>
          <cell r="K397">
            <v>40.869999999999997</v>
          </cell>
          <cell r="L397">
            <v>304.88</v>
          </cell>
        </row>
        <row r="398">
          <cell r="D398" t="str">
            <v xml:space="preserve">  B.262.            </v>
          </cell>
          <cell r="E398" t="str">
            <v>CP2228</v>
          </cell>
          <cell r="F398" t="str">
            <v>10.8.5.</v>
          </cell>
          <cell r="G398" t="str">
            <v xml:space="preserve">Conexões em PVC rígido TIGRE ou similar Flange c/ sextavado c/ rosca e sem furos ø 1 1/2  </v>
          </cell>
          <cell r="H398" t="str">
            <v xml:space="preserve">pç    </v>
          </cell>
          <cell r="I398">
            <v>32</v>
          </cell>
          <cell r="J398">
            <v>72.47</v>
          </cell>
          <cell r="K398">
            <v>103.53</v>
          </cell>
          <cell r="L398">
            <v>2319.04</v>
          </cell>
        </row>
        <row r="399">
          <cell r="D399" t="str">
            <v xml:space="preserve">  B.263.            </v>
          </cell>
          <cell r="E399" t="str">
            <v>CP0906</v>
          </cell>
          <cell r="F399" t="str">
            <v>10.8.6.</v>
          </cell>
          <cell r="G399" t="str">
            <v xml:space="preserve">Conexões em PVC rígido TIGRE ou similar Nípel com rosca ø 2  </v>
          </cell>
          <cell r="H399" t="str">
            <v xml:space="preserve">pç    </v>
          </cell>
          <cell r="I399">
            <v>8</v>
          </cell>
          <cell r="J399">
            <v>5.63</v>
          </cell>
          <cell r="K399">
            <v>4.7</v>
          </cell>
          <cell r="L399">
            <v>45.04</v>
          </cell>
        </row>
        <row r="400">
          <cell r="D400" t="str">
            <v xml:space="preserve">  B.264.            </v>
          </cell>
          <cell r="E400" t="str">
            <v>CP0907</v>
          </cell>
          <cell r="F400" t="str">
            <v>10.8.7.</v>
          </cell>
          <cell r="G400" t="str">
            <v xml:space="preserve">Conexões em PVC rígido TIGRE ou similar Nípel com rosca ø 1 1/2  </v>
          </cell>
          <cell r="H400" t="str">
            <v xml:space="preserve">pç    </v>
          </cell>
          <cell r="I400">
            <v>320</v>
          </cell>
          <cell r="J400">
            <v>2.93</v>
          </cell>
          <cell r="K400">
            <v>2.54</v>
          </cell>
          <cell r="L400">
            <v>937.6</v>
          </cell>
        </row>
        <row r="401">
          <cell r="D401" t="str">
            <v xml:space="preserve">  B.265.            </v>
          </cell>
          <cell r="E401" t="str">
            <v>CP2057</v>
          </cell>
          <cell r="F401" t="str">
            <v>10.8.8.</v>
          </cell>
          <cell r="G401" t="str">
            <v xml:space="preserve">Conexões em PVC rígido TIGRE ou similar Tê 90° com rosca ø 2  </v>
          </cell>
          <cell r="H401" t="str">
            <v xml:space="preserve">pç    </v>
          </cell>
          <cell r="I401">
            <v>24</v>
          </cell>
          <cell r="J401">
            <v>5.47</v>
          </cell>
          <cell r="K401">
            <v>4.59</v>
          </cell>
          <cell r="L401">
            <v>131.28</v>
          </cell>
        </row>
        <row r="402">
          <cell r="D402" t="str">
            <v xml:space="preserve">  B.266.            </v>
          </cell>
          <cell r="E402" t="str">
            <v>CP2147</v>
          </cell>
          <cell r="F402" t="str">
            <v>10.8.9.</v>
          </cell>
          <cell r="G402" t="str">
            <v xml:space="preserve">Conexões em PVC rígido TIGRE ou similar Tê 90° com rosca ø 1 1/2  </v>
          </cell>
          <cell r="H402" t="str">
            <v xml:space="preserve">pç    </v>
          </cell>
          <cell r="I402">
            <v>320</v>
          </cell>
          <cell r="J402">
            <v>3.14</v>
          </cell>
          <cell r="K402">
            <v>2.62</v>
          </cell>
          <cell r="L402">
            <v>1004.8</v>
          </cell>
        </row>
        <row r="403">
          <cell r="D403" t="str">
            <v xml:space="preserve">  B.267.            </v>
          </cell>
          <cell r="E403" t="str">
            <v>CP0909</v>
          </cell>
          <cell r="F403" t="str">
            <v>10.8.10.</v>
          </cell>
          <cell r="G403" t="str">
            <v xml:space="preserve">Conexões em PVC rígido TIGRE ou similar União com rosca ø 1 1/2  </v>
          </cell>
          <cell r="H403" t="str">
            <v xml:space="preserve">pç    </v>
          </cell>
          <cell r="I403">
            <v>32</v>
          </cell>
          <cell r="J403">
            <v>11.69</v>
          </cell>
          <cell r="K403">
            <v>9.8000000000000007</v>
          </cell>
          <cell r="L403">
            <v>374.08</v>
          </cell>
        </row>
        <row r="404">
          <cell r="D404" t="str">
            <v xml:space="preserve">  B.268.            </v>
          </cell>
          <cell r="E404" t="str">
            <v>CP0753</v>
          </cell>
          <cell r="F404" t="str">
            <v>10.8.11.</v>
          </cell>
          <cell r="G404" t="str">
            <v xml:space="preserve">Conexões em PVC rígido TIGRE ou similar Adaptador soldável curto com bolsa e rosca p/ registro DN 110 x 4  </v>
          </cell>
          <cell r="H404" t="str">
            <v xml:space="preserve">pç    </v>
          </cell>
          <cell r="I404">
            <v>4</v>
          </cell>
          <cell r="J404">
            <v>29.41</v>
          </cell>
          <cell r="K404">
            <v>35.369999999999997</v>
          </cell>
          <cell r="L404">
            <v>117.64</v>
          </cell>
        </row>
        <row r="405">
          <cell r="D405" t="str">
            <v xml:space="preserve">  B.269.            </v>
          </cell>
          <cell r="E405" t="str">
            <v>CP2121</v>
          </cell>
          <cell r="F405" t="str">
            <v>10.8.12.</v>
          </cell>
          <cell r="G405" t="str">
            <v xml:space="preserve">Conexões em PVC rígido TIGRE ou similar Adaptador soldável curto c/ bolsa e rosca p/ registro D 75 x 2 1/2  </v>
          </cell>
          <cell r="H405" t="str">
            <v xml:space="preserve">pç    </v>
          </cell>
          <cell r="I405">
            <v>8</v>
          </cell>
          <cell r="J405">
            <v>5.89</v>
          </cell>
          <cell r="K405">
            <v>4.93</v>
          </cell>
          <cell r="L405">
            <v>47.12</v>
          </cell>
        </row>
        <row r="406">
          <cell r="D406" t="str">
            <v xml:space="preserve">  B.270.            </v>
          </cell>
          <cell r="E406" t="str">
            <v>CP0912</v>
          </cell>
          <cell r="F406" t="str">
            <v>10.8.13.</v>
          </cell>
          <cell r="G406" t="str">
            <v xml:space="preserve">Conexões em PVC rígido TIGRE ou similar Joelho 90° com rosca ø 2  </v>
          </cell>
          <cell r="H406" t="str">
            <v xml:space="preserve">pç    </v>
          </cell>
          <cell r="I406">
            <v>16</v>
          </cell>
          <cell r="J406">
            <v>4.6100000000000003</v>
          </cell>
          <cell r="K406">
            <v>3.85</v>
          </cell>
          <cell r="L406">
            <v>73.760000000000005</v>
          </cell>
        </row>
        <row r="407">
          <cell r="D407" t="str">
            <v xml:space="preserve">  B.271.            </v>
          </cell>
          <cell r="E407" t="str">
            <v xml:space="preserve">      </v>
          </cell>
          <cell r="F407" t="str">
            <v>10.8.14.</v>
          </cell>
          <cell r="G407" t="str">
            <v xml:space="preserve">Conexões em PVC rígido TIGRE ou similar Joelho 90° soldável  </v>
          </cell>
          <cell r="H407" t="str">
            <v xml:space="preserve">      </v>
          </cell>
          <cell r="I407">
            <v>0</v>
          </cell>
          <cell r="J407">
            <v>0</v>
          </cell>
          <cell r="K407">
            <v>0</v>
          </cell>
          <cell r="L407">
            <v>0</v>
          </cell>
        </row>
        <row r="408">
          <cell r="D408" t="str">
            <v xml:space="preserve">  B.272.            </v>
          </cell>
          <cell r="E408" t="str">
            <v>CP1783</v>
          </cell>
          <cell r="F408" t="str">
            <v>10.8.14.1.</v>
          </cell>
          <cell r="G408" t="str">
            <v xml:space="preserve">Conexões em PVC rígido TIGRE ou similar Joelho 90° soldável D 110  </v>
          </cell>
          <cell r="H408" t="str">
            <v xml:space="preserve">pç    </v>
          </cell>
          <cell r="I408">
            <v>6</v>
          </cell>
          <cell r="J408">
            <v>60.59</v>
          </cell>
          <cell r="K408">
            <v>50.54</v>
          </cell>
          <cell r="L408">
            <v>363.54</v>
          </cell>
        </row>
        <row r="409">
          <cell r="D409" t="str">
            <v xml:space="preserve">  B.273.            </v>
          </cell>
          <cell r="E409" t="str">
            <v>CP0760</v>
          </cell>
          <cell r="F409" t="str">
            <v>10.8.14.2.</v>
          </cell>
          <cell r="G409" t="str">
            <v xml:space="preserve">Conexões em PVC rígido TIGRE ou similar Joelho 90° soldável D 75  </v>
          </cell>
          <cell r="H409" t="str">
            <v xml:space="preserve">pç    </v>
          </cell>
          <cell r="I409">
            <v>6</v>
          </cell>
          <cell r="J409">
            <v>41.03</v>
          </cell>
          <cell r="K409">
            <v>34.299999999999997</v>
          </cell>
          <cell r="L409">
            <v>246.18</v>
          </cell>
        </row>
        <row r="410">
          <cell r="D410" t="str">
            <v xml:space="preserve">  B.274.            </v>
          </cell>
          <cell r="E410" t="str">
            <v xml:space="preserve">      </v>
          </cell>
          <cell r="F410" t="str">
            <v>10.8.15.</v>
          </cell>
          <cell r="G410" t="str">
            <v xml:space="preserve">Conexões em PVC rígido TIGRE ou similar União soldável  </v>
          </cell>
          <cell r="H410" t="str">
            <v xml:space="preserve">      </v>
          </cell>
          <cell r="I410">
            <v>0</v>
          </cell>
          <cell r="J410">
            <v>0</v>
          </cell>
          <cell r="K410">
            <v>0</v>
          </cell>
          <cell r="L410">
            <v>0</v>
          </cell>
        </row>
        <row r="411">
          <cell r="D411" t="str">
            <v xml:space="preserve">  B.275.            </v>
          </cell>
          <cell r="E411" t="str">
            <v>CP1707</v>
          </cell>
          <cell r="F411" t="str">
            <v>10.8.15.1.</v>
          </cell>
          <cell r="G411" t="str">
            <v xml:space="preserve">Conexões em PVC rígido TIGRE ou similar União soldável D 110  </v>
          </cell>
          <cell r="H411" t="str">
            <v xml:space="preserve">pç    </v>
          </cell>
          <cell r="I411">
            <v>2</v>
          </cell>
          <cell r="J411">
            <v>233.19</v>
          </cell>
          <cell r="K411">
            <v>313.08999999999997</v>
          </cell>
          <cell r="L411">
            <v>466.38</v>
          </cell>
        </row>
        <row r="412">
          <cell r="D412" t="str">
            <v xml:space="preserve">  B.276.            </v>
          </cell>
          <cell r="E412" t="str">
            <v>CP1799</v>
          </cell>
          <cell r="F412" t="str">
            <v>10.8.15.2.</v>
          </cell>
          <cell r="G412" t="str">
            <v xml:space="preserve">Conexões em PVC rígido TIGRE ou similar União soldável D 75  </v>
          </cell>
          <cell r="H412" t="str">
            <v xml:space="preserve">pç    </v>
          </cell>
          <cell r="I412">
            <v>4</v>
          </cell>
          <cell r="J412">
            <v>96.94</v>
          </cell>
          <cell r="K412">
            <v>81.099999999999994</v>
          </cell>
          <cell r="L412">
            <v>387.76</v>
          </cell>
        </row>
        <row r="413">
          <cell r="D413" t="str">
            <v xml:space="preserve">  B.277.            </v>
          </cell>
          <cell r="E413" t="str">
            <v xml:space="preserve">      </v>
          </cell>
          <cell r="F413" t="str">
            <v>10.8.16.</v>
          </cell>
          <cell r="G413" t="str">
            <v xml:space="preserve">Conexões em PVC rígido TIGRE ou similar Tê 90° soldável  </v>
          </cell>
          <cell r="H413" t="str">
            <v xml:space="preserve">      </v>
          </cell>
          <cell r="I413">
            <v>0</v>
          </cell>
          <cell r="J413">
            <v>0</v>
          </cell>
          <cell r="K413">
            <v>0</v>
          </cell>
          <cell r="L413">
            <v>0</v>
          </cell>
        </row>
        <row r="414">
          <cell r="D414" t="str">
            <v xml:space="preserve">  B.278.            </v>
          </cell>
          <cell r="E414" t="str">
            <v>CP1773</v>
          </cell>
          <cell r="F414" t="str">
            <v>10.8.16.1.</v>
          </cell>
          <cell r="G414" t="str">
            <v xml:space="preserve">Conexões em PVC rígido TIGRE ou similar Tê 90° soldável D 110  </v>
          </cell>
          <cell r="H414" t="str">
            <v xml:space="preserve">pç    </v>
          </cell>
          <cell r="I414">
            <v>2</v>
          </cell>
          <cell r="J414">
            <v>91.07</v>
          </cell>
          <cell r="K414">
            <v>109.87</v>
          </cell>
          <cell r="L414">
            <v>182.14</v>
          </cell>
        </row>
        <row r="415">
          <cell r="D415" t="str">
            <v xml:space="preserve">  B.279.            </v>
          </cell>
          <cell r="E415" t="str">
            <v>CP1917</v>
          </cell>
          <cell r="F415" t="str">
            <v>10.8.16.2.</v>
          </cell>
          <cell r="G415" t="str">
            <v xml:space="preserve">Conexões em PVC rígido TIGRE ou similar Tê 90° soldável D 75  </v>
          </cell>
          <cell r="H415" t="str">
            <v xml:space="preserve">pç    </v>
          </cell>
          <cell r="I415">
            <v>4</v>
          </cell>
          <cell r="J415">
            <v>31.96</v>
          </cell>
          <cell r="K415">
            <v>38.57</v>
          </cell>
          <cell r="L415">
            <v>127.84</v>
          </cell>
        </row>
        <row r="416">
          <cell r="D416" t="str">
            <v xml:space="preserve">  B.280.            </v>
          </cell>
          <cell r="E416" t="str">
            <v xml:space="preserve">      </v>
          </cell>
          <cell r="F416" t="str">
            <v>11.</v>
          </cell>
          <cell r="G416" t="str">
            <v xml:space="preserve">Assentamento de Materiais para Instalações de Processo  </v>
          </cell>
          <cell r="H416" t="str">
            <v xml:space="preserve">      </v>
          </cell>
          <cell r="I416">
            <v>0</v>
          </cell>
          <cell r="J416">
            <v>0</v>
          </cell>
          <cell r="K416">
            <v>0</v>
          </cell>
          <cell r="L416">
            <v>0</v>
          </cell>
        </row>
        <row r="417">
          <cell r="D417" t="str">
            <v xml:space="preserve">  B.281.            </v>
          </cell>
          <cell r="E417" t="str">
            <v xml:space="preserve">      </v>
          </cell>
          <cell r="F417" t="str">
            <v>11.1.</v>
          </cell>
          <cell r="G417" t="str">
            <v xml:space="preserve">Tubos e conexões em polipropileno soldáveis conforme norma DIN-8077, pressão nominal de 10 kg/cm², TUBELLI ou similar  </v>
          </cell>
          <cell r="H417" t="str">
            <v xml:space="preserve">      </v>
          </cell>
          <cell r="I417">
            <v>0</v>
          </cell>
          <cell r="J417">
            <v>0</v>
          </cell>
          <cell r="K417">
            <v>0</v>
          </cell>
          <cell r="L417">
            <v>0</v>
          </cell>
        </row>
        <row r="418">
          <cell r="D418" t="str">
            <v xml:space="preserve">  B.282.            </v>
          </cell>
          <cell r="E418" t="str">
            <v>CP4607</v>
          </cell>
          <cell r="F418" t="str">
            <v>11.1.1.</v>
          </cell>
          <cell r="G418" t="str">
            <v xml:space="preserve">Tubos e conexões em polipropileno soldáveis conforme norma DIN-8077, pressão nominal de 10 kg/cm², TUBELLI ou similar Tubo DN 160  </v>
          </cell>
          <cell r="H418" t="str">
            <v xml:space="preserve">m     </v>
          </cell>
          <cell r="I418">
            <v>208</v>
          </cell>
          <cell r="J418">
            <v>20.86</v>
          </cell>
          <cell r="K418">
            <v>29.8</v>
          </cell>
          <cell r="L418">
            <v>4338.88</v>
          </cell>
        </row>
        <row r="419">
          <cell r="D419" t="str">
            <v xml:space="preserve">  B.283.            </v>
          </cell>
          <cell r="E419" t="str">
            <v>CP0158</v>
          </cell>
          <cell r="F419" t="str">
            <v>11.1.2.</v>
          </cell>
          <cell r="G419" t="str">
            <v xml:space="preserve">Tubos e conexões em polipropileno soldáveis conforme norma DIN-8077, pressão nominal de 10 kg/cm², TUBELLI ou similar Tubo DN 60  </v>
          </cell>
          <cell r="H419" t="str">
            <v xml:space="preserve">m     </v>
          </cell>
          <cell r="I419">
            <v>192</v>
          </cell>
          <cell r="J419">
            <v>1.1299999999999999</v>
          </cell>
          <cell r="K419">
            <v>4.7</v>
          </cell>
          <cell r="L419">
            <v>216.96</v>
          </cell>
        </row>
        <row r="420">
          <cell r="D420" t="str">
            <v xml:space="preserve">  B.284.            </v>
          </cell>
          <cell r="E420" t="str">
            <v>CP4608</v>
          </cell>
          <cell r="F420" t="str">
            <v>11.1.3.</v>
          </cell>
          <cell r="G420" t="str">
            <v xml:space="preserve">Tubos e conexões em polipropileno soldáveis conforme norma DIN-8077, pressão nominal de 10 kg/cm², TUBELLI ou similar Tubo DN 20  </v>
          </cell>
          <cell r="H420" t="str">
            <v xml:space="preserve">m     </v>
          </cell>
          <cell r="I420">
            <v>160</v>
          </cell>
          <cell r="J420">
            <v>1.34</v>
          </cell>
          <cell r="K420">
            <v>1.92</v>
          </cell>
          <cell r="L420">
            <v>214.4</v>
          </cell>
        </row>
        <row r="421">
          <cell r="D421" t="str">
            <v xml:space="preserve">  B.285.            </v>
          </cell>
          <cell r="E421" t="str">
            <v xml:space="preserve">      </v>
          </cell>
          <cell r="F421" t="str">
            <v>11.2.</v>
          </cell>
          <cell r="G421" t="str">
            <v xml:space="preserve">Tubos e conexões em aço carbono sem costura, roscável SCHEDULE 40, zincados, MANNESMANN ou similar  </v>
          </cell>
          <cell r="H421" t="str">
            <v xml:space="preserve">      </v>
          </cell>
          <cell r="I421">
            <v>0</v>
          </cell>
          <cell r="J421">
            <v>0</v>
          </cell>
          <cell r="K421">
            <v>0</v>
          </cell>
          <cell r="L421">
            <v>0</v>
          </cell>
        </row>
        <row r="422">
          <cell r="D422" t="str">
            <v xml:space="preserve">  B.286.            </v>
          </cell>
          <cell r="E422" t="str">
            <v>CP0494</v>
          </cell>
          <cell r="F422" t="str">
            <v>11.2.1.</v>
          </cell>
          <cell r="G422" t="str">
            <v xml:space="preserve">Tubos e conexões em aço carbono sem costura, roscável SCHEDULE 40, zincados, MANNESMANN ou similar Tubo ø 2  </v>
          </cell>
          <cell r="H422" t="str">
            <v xml:space="preserve">m     </v>
          </cell>
          <cell r="I422">
            <v>16</v>
          </cell>
          <cell r="J422">
            <v>17.7</v>
          </cell>
          <cell r="K422">
            <v>0</v>
          </cell>
          <cell r="L422">
            <v>283.2</v>
          </cell>
        </row>
        <row r="423">
          <cell r="D423" t="str">
            <v xml:space="preserve">  B.287.            </v>
          </cell>
          <cell r="E423" t="str">
            <v>CP0492</v>
          </cell>
          <cell r="F423" t="str">
            <v>11.2.2.</v>
          </cell>
          <cell r="G423" t="str">
            <v xml:space="preserve">Tubos e conexões em aço carbono sem costura, roscável SCHEDULE 40, zincados, MANNESMANN ou similar Tubo ø 1 1/2  </v>
          </cell>
          <cell r="H423" t="str">
            <v xml:space="preserve">m     </v>
          </cell>
          <cell r="I423">
            <v>74</v>
          </cell>
          <cell r="J423">
            <v>17.75</v>
          </cell>
          <cell r="K423">
            <v>14.8</v>
          </cell>
          <cell r="L423">
            <v>1313.5</v>
          </cell>
        </row>
        <row r="424">
          <cell r="D424" t="str">
            <v xml:space="preserve">  B.288.            </v>
          </cell>
          <cell r="E424" t="str">
            <v>CP0489</v>
          </cell>
          <cell r="F424" t="str">
            <v>11.2.3.</v>
          </cell>
          <cell r="G424" t="str">
            <v xml:space="preserve">Tubos e conexões em aço carbono sem costura, roscável SCHEDULE 40, zincados, MANNESMANN ou similar Tubo ø 1 1/4  </v>
          </cell>
          <cell r="H424" t="str">
            <v xml:space="preserve">m     </v>
          </cell>
          <cell r="I424">
            <v>8</v>
          </cell>
          <cell r="J424">
            <v>15.55</v>
          </cell>
          <cell r="K424">
            <v>14.66</v>
          </cell>
          <cell r="L424">
            <v>124.4</v>
          </cell>
        </row>
        <row r="425">
          <cell r="D425" t="str">
            <v xml:space="preserve">  B.289.            </v>
          </cell>
          <cell r="E425" t="str">
            <v>CP0161</v>
          </cell>
          <cell r="F425" t="str">
            <v>11.2.4.</v>
          </cell>
          <cell r="G425" t="str">
            <v xml:space="preserve">Tubos e conexões em aço carbono sem costura, roscável SCHEDULE 40, zincados, MANNESMANN ou similar Tubo ø 1  </v>
          </cell>
          <cell r="H425" t="str">
            <v xml:space="preserve">m     </v>
          </cell>
          <cell r="I425">
            <v>18</v>
          </cell>
          <cell r="J425">
            <v>1.88</v>
          </cell>
          <cell r="K425">
            <v>13.86</v>
          </cell>
          <cell r="L425">
            <v>33.840000000000003</v>
          </cell>
        </row>
        <row r="426">
          <cell r="D426" t="str">
            <v xml:space="preserve">  B.290.            </v>
          </cell>
          <cell r="E426" t="str">
            <v>CP0486</v>
          </cell>
          <cell r="F426" t="str">
            <v>11.2.5.</v>
          </cell>
          <cell r="G426" t="str">
            <v xml:space="preserve">Tubos e conexões em aço carbono sem costura, roscável SCHEDULE 40, zincados, MANNESMANN ou similar Tubo ø 3/4  </v>
          </cell>
          <cell r="H426" t="str">
            <v xml:space="preserve">m     </v>
          </cell>
          <cell r="I426">
            <v>32</v>
          </cell>
          <cell r="J426">
            <v>15.57</v>
          </cell>
          <cell r="K426">
            <v>13.02</v>
          </cell>
          <cell r="L426">
            <v>498.24</v>
          </cell>
        </row>
        <row r="427">
          <cell r="D427" t="str">
            <v xml:space="preserve">  B.291.            </v>
          </cell>
          <cell r="E427" t="str">
            <v>CP0483</v>
          </cell>
          <cell r="F427" t="str">
            <v>11.2.6.</v>
          </cell>
          <cell r="G427" t="str">
            <v xml:space="preserve">Tubos e conexões em aço carbono sem costura, roscável SCHEDULE 40, zincados, MANNESMANN ou similar Tubo ø 1/2  </v>
          </cell>
          <cell r="H427" t="str">
            <v xml:space="preserve">m     </v>
          </cell>
          <cell r="I427">
            <v>8</v>
          </cell>
          <cell r="J427">
            <v>11.61</v>
          </cell>
          <cell r="K427">
            <v>12.23</v>
          </cell>
          <cell r="L427">
            <v>92.88</v>
          </cell>
        </row>
        <row r="428">
          <cell r="D428" t="str">
            <v xml:space="preserve">  B.292.            </v>
          </cell>
          <cell r="E428" t="str">
            <v xml:space="preserve">      </v>
          </cell>
          <cell r="F428" t="str">
            <v>11.3.</v>
          </cell>
          <cell r="G428" t="str">
            <v xml:space="preserve">Tubos e conexões em PVC rígido TIGRE ou similar  </v>
          </cell>
          <cell r="H428" t="str">
            <v xml:space="preserve">      </v>
          </cell>
          <cell r="I428">
            <v>0</v>
          </cell>
          <cell r="J428">
            <v>0</v>
          </cell>
          <cell r="K428">
            <v>0</v>
          </cell>
          <cell r="L428">
            <v>0</v>
          </cell>
        </row>
        <row r="429">
          <cell r="D429" t="str">
            <v xml:space="preserve">  B.293.            </v>
          </cell>
          <cell r="E429" t="str">
            <v>CP0481</v>
          </cell>
          <cell r="F429" t="str">
            <v>11.3.1.</v>
          </cell>
          <cell r="G429" t="str">
            <v xml:space="preserve">Tubos e conexões em PVC rígido TIGRE ou similar Tubo roscável ø 2  </v>
          </cell>
          <cell r="H429" t="str">
            <v xml:space="preserve">m     </v>
          </cell>
          <cell r="I429">
            <v>66</v>
          </cell>
          <cell r="J429">
            <v>11.41</v>
          </cell>
          <cell r="K429">
            <v>14.12</v>
          </cell>
          <cell r="L429">
            <v>753.06</v>
          </cell>
        </row>
        <row r="430">
          <cell r="D430" t="str">
            <v xml:space="preserve">  B.294.            </v>
          </cell>
          <cell r="E430" t="str">
            <v>CP0154</v>
          </cell>
          <cell r="F430" t="str">
            <v>11.3.2.</v>
          </cell>
          <cell r="G430" t="str">
            <v xml:space="preserve">Tubos e conexões em PVC rígido TIGRE ou similar Tubo roscável ø 1 1/2  </v>
          </cell>
          <cell r="H430" t="str">
            <v xml:space="preserve">m     </v>
          </cell>
          <cell r="I430">
            <v>192</v>
          </cell>
          <cell r="J430">
            <v>1.23</v>
          </cell>
          <cell r="K430">
            <v>13.34</v>
          </cell>
          <cell r="L430">
            <v>236.16</v>
          </cell>
        </row>
        <row r="431">
          <cell r="D431" t="str">
            <v xml:space="preserve">  B.295.            </v>
          </cell>
          <cell r="E431" t="str">
            <v>CP4605</v>
          </cell>
          <cell r="F431" t="str">
            <v>11.3.3.</v>
          </cell>
          <cell r="G431" t="str">
            <v xml:space="preserve">Tubos e conexões em PVC rígido TIGRE ou similar Tubo soldável D 110  </v>
          </cell>
          <cell r="H431" t="str">
            <v xml:space="preserve">m     </v>
          </cell>
          <cell r="I431">
            <v>138</v>
          </cell>
          <cell r="J431">
            <v>0.96</v>
          </cell>
          <cell r="K431">
            <v>0.85</v>
          </cell>
          <cell r="L431">
            <v>132.47999999999999</v>
          </cell>
        </row>
        <row r="432">
          <cell r="D432" t="str">
            <v xml:space="preserve">  B.296.            </v>
          </cell>
          <cell r="E432" t="str">
            <v>CP0154</v>
          </cell>
          <cell r="F432" t="str">
            <v>11.3.4.</v>
          </cell>
          <cell r="G432" t="str">
            <v xml:space="preserve">Tubos e conexões em PVC rígido TIGRE ou similar Tubo soldável D 75  </v>
          </cell>
          <cell r="H432" t="str">
            <v xml:space="preserve">m     </v>
          </cell>
          <cell r="I432">
            <v>126</v>
          </cell>
          <cell r="J432">
            <v>1.23</v>
          </cell>
          <cell r="K432">
            <v>14.6</v>
          </cell>
          <cell r="L432">
            <v>154.97999999999999</v>
          </cell>
        </row>
        <row r="433">
          <cell r="D433" t="str">
            <v xml:space="preserve">  B.297.            </v>
          </cell>
          <cell r="E433" t="str">
            <v xml:space="preserve">      </v>
          </cell>
          <cell r="F433" t="str">
            <v>12.</v>
          </cell>
          <cell r="G433" t="str">
            <v xml:space="preserve">Obras Diversas  </v>
          </cell>
          <cell r="H433" t="str">
            <v xml:space="preserve">      </v>
          </cell>
          <cell r="I433">
            <v>0</v>
          </cell>
          <cell r="J433">
            <v>0</v>
          </cell>
          <cell r="K433">
            <v>0</v>
          </cell>
          <cell r="L433">
            <v>0</v>
          </cell>
        </row>
        <row r="434">
          <cell r="D434" t="str">
            <v xml:space="preserve">  B.298.            </v>
          </cell>
          <cell r="E434" t="str">
            <v xml:space="preserve">      </v>
          </cell>
          <cell r="F434" t="str">
            <v>12.1.</v>
          </cell>
          <cell r="G434" t="str">
            <v xml:space="preserve">Cobertura em policarbonato, espessura 6 mm inclusive tirantes, estrutura de apoio e acessórios para fixação  </v>
          </cell>
          <cell r="H434" t="str">
            <v xml:space="preserve">      </v>
          </cell>
          <cell r="I434">
            <v>0</v>
          </cell>
          <cell r="J434">
            <v>0</v>
          </cell>
          <cell r="K434">
            <v>0</v>
          </cell>
          <cell r="L434">
            <v>0</v>
          </cell>
        </row>
        <row r="435">
          <cell r="D435" t="str">
            <v xml:space="preserve">  B.299.            </v>
          </cell>
          <cell r="E435" t="str">
            <v>CP0144</v>
          </cell>
          <cell r="F435" t="str">
            <v>12.1.1.</v>
          </cell>
          <cell r="G435" t="str">
            <v xml:space="preserve">Cobertura em policarbonato, espessura 6 mm inclusive tirantes, estrutura de apoio e acessórios para fixação Sala dos compressores  </v>
          </cell>
          <cell r="H435" t="str">
            <v xml:space="preserve">m²    </v>
          </cell>
          <cell r="I435">
            <v>65</v>
          </cell>
          <cell r="J435">
            <v>312.2</v>
          </cell>
          <cell r="K435">
            <v>446</v>
          </cell>
          <cell r="L435">
            <v>20293</v>
          </cell>
        </row>
        <row r="436">
          <cell r="D436" t="str">
            <v xml:space="preserve">  B.300.            </v>
          </cell>
          <cell r="E436" t="str">
            <v>CP0144</v>
          </cell>
          <cell r="F436" t="str">
            <v>12.1.2.</v>
          </cell>
          <cell r="G436" t="str">
            <v xml:space="preserve">Cobertura em policarbonato, espessura 6 mm inclusive tirantes, estrutura de apoio e acessórios para fixação Elevatórias de recalque de lodo  </v>
          </cell>
          <cell r="H436" t="str">
            <v xml:space="preserve">m²    </v>
          </cell>
          <cell r="I436">
            <v>265</v>
          </cell>
          <cell r="J436">
            <v>312.2</v>
          </cell>
          <cell r="K436">
            <v>446</v>
          </cell>
          <cell r="L436">
            <v>82733</v>
          </cell>
        </row>
        <row r="437">
          <cell r="D437" t="str">
            <v xml:space="preserve">  C.  1.            </v>
          </cell>
          <cell r="E437" t="str">
            <v xml:space="preserve">      </v>
          </cell>
          <cell r="F437" t="str">
            <v>0.C.</v>
          </cell>
          <cell r="G437" t="str">
            <v xml:space="preserve">CASA DE QUÍMICA  </v>
          </cell>
          <cell r="H437" t="str">
            <v xml:space="preserve">      </v>
          </cell>
          <cell r="I437">
            <v>0</v>
          </cell>
          <cell r="J437">
            <v>0</v>
          </cell>
          <cell r="K437">
            <v>0</v>
          </cell>
          <cell r="L437">
            <v>0</v>
          </cell>
        </row>
        <row r="438">
          <cell r="D438" t="str">
            <v xml:space="preserve">  C.  2.            </v>
          </cell>
          <cell r="E438" t="str">
            <v xml:space="preserve">      </v>
          </cell>
          <cell r="F438" t="str">
            <v>1.</v>
          </cell>
          <cell r="G438" t="str">
            <v xml:space="preserve">Serviços Preliminares  </v>
          </cell>
          <cell r="H438" t="str">
            <v xml:space="preserve">      </v>
          </cell>
          <cell r="I438">
            <v>0</v>
          </cell>
          <cell r="J438">
            <v>0</v>
          </cell>
          <cell r="K438">
            <v>0</v>
          </cell>
          <cell r="L438">
            <v>0</v>
          </cell>
        </row>
        <row r="439">
          <cell r="D439" t="str">
            <v xml:space="preserve">  C.  3.            </v>
          </cell>
          <cell r="E439" t="str">
            <v>CP1163</v>
          </cell>
          <cell r="F439" t="str">
            <v>1.1.</v>
          </cell>
          <cell r="G439" t="str">
            <v xml:space="preserve">Locacão da obra de edificação com execução de gabarito  </v>
          </cell>
          <cell r="H439" t="str">
            <v xml:space="preserve">m2    </v>
          </cell>
          <cell r="I439">
            <v>605</v>
          </cell>
          <cell r="J439">
            <v>4.3099999999999996</v>
          </cell>
          <cell r="K439">
            <v>3.61</v>
          </cell>
          <cell r="L439">
            <v>2607.5500000000002</v>
          </cell>
        </row>
        <row r="440">
          <cell r="D440" t="str">
            <v xml:space="preserve">  C.  4.            </v>
          </cell>
          <cell r="E440" t="str">
            <v>CP1152</v>
          </cell>
          <cell r="F440" t="str">
            <v>1.2.</v>
          </cell>
          <cell r="G440" t="str">
            <v xml:space="preserve">Limpeza mecânica do terreno  </v>
          </cell>
          <cell r="H440" t="str">
            <v xml:space="preserve">m2    </v>
          </cell>
          <cell r="I440">
            <v>605</v>
          </cell>
          <cell r="J440">
            <v>0.55000000000000004</v>
          </cell>
          <cell r="K440">
            <v>0.46</v>
          </cell>
          <cell r="L440">
            <v>332.75</v>
          </cell>
        </row>
        <row r="441">
          <cell r="D441" t="str">
            <v xml:space="preserve">  C.  5.            </v>
          </cell>
          <cell r="E441" t="str">
            <v xml:space="preserve">      </v>
          </cell>
          <cell r="F441" t="str">
            <v>2.</v>
          </cell>
          <cell r="G441" t="str">
            <v xml:space="preserve">Movimento de Terra  </v>
          </cell>
          <cell r="H441" t="str">
            <v xml:space="preserve">      </v>
          </cell>
          <cell r="I441">
            <v>0</v>
          </cell>
          <cell r="J441">
            <v>0</v>
          </cell>
          <cell r="K441">
            <v>0</v>
          </cell>
          <cell r="L441">
            <v>0</v>
          </cell>
        </row>
        <row r="442">
          <cell r="D442" t="str">
            <v xml:space="preserve">  C.  6.            </v>
          </cell>
          <cell r="E442" t="str">
            <v>CP1141</v>
          </cell>
          <cell r="F442" t="str">
            <v>2.1.</v>
          </cell>
          <cell r="G442" t="str">
            <v xml:space="preserve">Escavação mecânica em áreas solo de qualquer natureza, exceto rocha, inclusive carga e descarga  </v>
          </cell>
          <cell r="H442" t="str">
            <v xml:space="preserve">m³    </v>
          </cell>
          <cell r="I442">
            <v>200</v>
          </cell>
          <cell r="J442">
            <v>3.89</v>
          </cell>
          <cell r="K442">
            <v>5.55</v>
          </cell>
          <cell r="L442">
            <v>778</v>
          </cell>
        </row>
        <row r="443">
          <cell r="D443" t="str">
            <v xml:space="preserve">  C.  7.            </v>
          </cell>
          <cell r="E443" t="str">
            <v>CP1109</v>
          </cell>
          <cell r="F443" t="str">
            <v>2.2.</v>
          </cell>
          <cell r="G443" t="str">
            <v xml:space="preserve">Extração de rocha a frio em valas  </v>
          </cell>
          <cell r="H443" t="str">
            <v xml:space="preserve">m³    </v>
          </cell>
          <cell r="I443">
            <v>40</v>
          </cell>
          <cell r="J443">
            <v>302.83999999999997</v>
          </cell>
          <cell r="K443">
            <v>432.63</v>
          </cell>
          <cell r="L443">
            <v>12113.6</v>
          </cell>
        </row>
        <row r="444">
          <cell r="D444" t="str">
            <v xml:space="preserve">  C.  8.            </v>
          </cell>
          <cell r="E444" t="str">
            <v>CP1131</v>
          </cell>
          <cell r="F444" t="str">
            <v>2.3.</v>
          </cell>
          <cell r="G444" t="str">
            <v xml:space="preserve">Escavação manual material de 1ª categoria prof. até 1,50m  </v>
          </cell>
          <cell r="H444" t="str">
            <v xml:space="preserve">m³    </v>
          </cell>
          <cell r="I444">
            <v>250</v>
          </cell>
          <cell r="J444">
            <v>20.89</v>
          </cell>
          <cell r="K444">
            <v>19.02</v>
          </cell>
          <cell r="L444">
            <v>5222.5</v>
          </cell>
        </row>
        <row r="445">
          <cell r="D445" t="str">
            <v xml:space="preserve">  C.  9.            </v>
          </cell>
          <cell r="E445" t="str">
            <v>CP1122</v>
          </cell>
          <cell r="F445" t="str">
            <v>2.4.</v>
          </cell>
          <cell r="G445" t="str">
            <v xml:space="preserve">Escavação manual material de 1ª categoria prof. 1,50 m até 3,00m  </v>
          </cell>
          <cell r="H445" t="str">
            <v xml:space="preserve">m³    </v>
          </cell>
          <cell r="I445">
            <v>580</v>
          </cell>
          <cell r="J445">
            <v>25.56</v>
          </cell>
          <cell r="K445">
            <v>26.63</v>
          </cell>
          <cell r="L445">
            <v>14824.8</v>
          </cell>
        </row>
        <row r="446">
          <cell r="D446" t="str">
            <v xml:space="preserve">  C. 10.            </v>
          </cell>
          <cell r="E446" t="str">
            <v>CP1085</v>
          </cell>
          <cell r="F446" t="str">
            <v>2.5.</v>
          </cell>
          <cell r="G446" t="str">
            <v xml:space="preserve">Carga mecânica de material em caminhão basculante  </v>
          </cell>
          <cell r="H446" t="str">
            <v xml:space="preserve">m³    </v>
          </cell>
          <cell r="I446">
            <v>1391</v>
          </cell>
          <cell r="J446">
            <v>1.23</v>
          </cell>
          <cell r="K446">
            <v>1.74</v>
          </cell>
          <cell r="L446">
            <v>1710.93</v>
          </cell>
        </row>
        <row r="447">
          <cell r="D447" t="str">
            <v xml:space="preserve">  C. 11.            </v>
          </cell>
          <cell r="E447" t="str">
            <v>CP1070</v>
          </cell>
          <cell r="F447" t="str">
            <v>2.6.</v>
          </cell>
          <cell r="G447" t="str">
            <v xml:space="preserve">Transporte mecânico de material em caminhão basculante  </v>
          </cell>
          <cell r="H447" t="str">
            <v xml:space="preserve">m³xkm </v>
          </cell>
          <cell r="I447">
            <v>13910</v>
          </cell>
          <cell r="J447">
            <v>2.38</v>
          </cell>
          <cell r="K447">
            <v>2.35</v>
          </cell>
          <cell r="L447">
            <v>33105.800000000003</v>
          </cell>
        </row>
        <row r="448">
          <cell r="D448" t="str">
            <v xml:space="preserve">  C. 12.            </v>
          </cell>
          <cell r="E448" t="str">
            <v xml:space="preserve">      </v>
          </cell>
          <cell r="F448" t="str">
            <v>3.</v>
          </cell>
          <cell r="G448" t="str">
            <v xml:space="preserve">Estruturas de Concreto  </v>
          </cell>
          <cell r="H448" t="str">
            <v xml:space="preserve">      </v>
          </cell>
          <cell r="I448">
            <v>0</v>
          </cell>
          <cell r="J448">
            <v>0</v>
          </cell>
          <cell r="K448">
            <v>0</v>
          </cell>
          <cell r="L448">
            <v>0</v>
          </cell>
        </row>
        <row r="449">
          <cell r="D449" t="str">
            <v xml:space="preserve">  C. 13.            </v>
          </cell>
          <cell r="E449" t="str">
            <v xml:space="preserve">      </v>
          </cell>
          <cell r="F449" t="str">
            <v>3.1.</v>
          </cell>
          <cell r="G449" t="str">
            <v xml:space="preserve">Escavação e Concretagem de Tubulões Mecanizados  </v>
          </cell>
          <cell r="H449" t="str">
            <v xml:space="preserve">      </v>
          </cell>
          <cell r="I449">
            <v>0</v>
          </cell>
          <cell r="J449">
            <v>0</v>
          </cell>
          <cell r="K449">
            <v>0</v>
          </cell>
          <cell r="L449">
            <v>0</v>
          </cell>
        </row>
        <row r="450">
          <cell r="D450" t="str">
            <v xml:space="preserve">  C. 14.            </v>
          </cell>
          <cell r="E450" t="str">
            <v>CP0088</v>
          </cell>
          <cell r="F450" t="str">
            <v>3.1.1.</v>
          </cell>
          <cell r="G450" t="str">
            <v xml:space="preserve">Escavação e Concretagem de Tubulões Mecanizados D = 30 cm  </v>
          </cell>
          <cell r="H450" t="str">
            <v xml:space="preserve">m     </v>
          </cell>
          <cell r="I450">
            <v>430</v>
          </cell>
          <cell r="J450">
            <v>80.77</v>
          </cell>
          <cell r="K450">
            <v>81.42</v>
          </cell>
          <cell r="L450">
            <v>34731.1</v>
          </cell>
        </row>
        <row r="451">
          <cell r="D451" t="str">
            <v xml:space="preserve">  C. 15.            </v>
          </cell>
          <cell r="E451" t="str">
            <v>CP3500</v>
          </cell>
          <cell r="F451" t="str">
            <v>3.1.2.</v>
          </cell>
          <cell r="G451" t="str">
            <v xml:space="preserve">Escavação e Concretagem de Tubulões Mecanizados D = 40 cm  </v>
          </cell>
          <cell r="H451" t="str">
            <v xml:space="preserve">m     </v>
          </cell>
          <cell r="I451">
            <v>810</v>
          </cell>
          <cell r="J451">
            <v>114.36</v>
          </cell>
          <cell r="K451">
            <v>121.14</v>
          </cell>
          <cell r="L451">
            <v>92631.6</v>
          </cell>
        </row>
        <row r="452">
          <cell r="D452" t="str">
            <v xml:space="preserve">  C. 16.            </v>
          </cell>
          <cell r="E452" t="str">
            <v>CP0079</v>
          </cell>
          <cell r="F452" t="str">
            <v>3.1.3.</v>
          </cell>
          <cell r="G452" t="str">
            <v xml:space="preserve">Escavação e Concretagem de Tubulões Mecanizados D = 45 cm  </v>
          </cell>
          <cell r="H452" t="str">
            <v xml:space="preserve">m     </v>
          </cell>
          <cell r="I452">
            <v>55</v>
          </cell>
          <cell r="J452">
            <v>136.49</v>
          </cell>
          <cell r="K452">
            <v>115.23</v>
          </cell>
          <cell r="L452">
            <v>7506.95</v>
          </cell>
        </row>
        <row r="453">
          <cell r="D453" t="str">
            <v xml:space="preserve">  C. 17.            </v>
          </cell>
          <cell r="E453" t="str">
            <v>CP0061</v>
          </cell>
          <cell r="F453" t="str">
            <v>3.2.</v>
          </cell>
          <cell r="G453" t="str">
            <v xml:space="preserve">Formas planas para estruturas em chapa de madeira plastificada - 02 reaproveitamentos, inclusive desforma  </v>
          </cell>
          <cell r="H453" t="str">
            <v xml:space="preserve">m²    </v>
          </cell>
          <cell r="I453">
            <v>2886</v>
          </cell>
          <cell r="J453">
            <v>87.97</v>
          </cell>
          <cell r="K453">
            <v>73.349999999999994</v>
          </cell>
          <cell r="L453">
            <v>253881.42</v>
          </cell>
        </row>
        <row r="454">
          <cell r="D454" t="str">
            <v xml:space="preserve">  C. 18.            </v>
          </cell>
          <cell r="E454" t="str">
            <v>CP1056</v>
          </cell>
          <cell r="F454" t="str">
            <v>3.3.</v>
          </cell>
          <cell r="G454" t="str">
            <v xml:space="preserve">Armadura de aço CA-50, com fornecimento do material Corte e dobra  </v>
          </cell>
          <cell r="H454" t="str">
            <v xml:space="preserve">kg    </v>
          </cell>
          <cell r="I454">
            <v>23900</v>
          </cell>
          <cell r="J454">
            <v>6.9</v>
          </cell>
          <cell r="K454">
            <v>5.78</v>
          </cell>
          <cell r="L454">
            <v>164910</v>
          </cell>
        </row>
        <row r="455">
          <cell r="D455" t="str">
            <v xml:space="preserve">  C. 19.            </v>
          </cell>
          <cell r="E455" t="str">
            <v>CP1054</v>
          </cell>
          <cell r="F455" t="str">
            <v>3.4.</v>
          </cell>
          <cell r="G455" t="str">
            <v xml:space="preserve">Armadura de aço CA-60, com fornecimento do material Corte e dobra  </v>
          </cell>
          <cell r="H455" t="str">
            <v xml:space="preserve">kg    </v>
          </cell>
          <cell r="I455">
            <v>4500</v>
          </cell>
          <cell r="J455">
            <v>7.59</v>
          </cell>
          <cell r="K455">
            <v>6.34</v>
          </cell>
          <cell r="L455">
            <v>34155</v>
          </cell>
        </row>
        <row r="456">
          <cell r="D456" t="str">
            <v xml:space="preserve">  C. 20.            </v>
          </cell>
          <cell r="E456" t="str">
            <v>CP0098</v>
          </cell>
          <cell r="F456" t="str">
            <v>3.5.</v>
          </cell>
          <cell r="G456" t="str">
            <v xml:space="preserve">Fornecimento e lançamento de concreto usinado bombeado - fck = 15 MPA  </v>
          </cell>
          <cell r="H456" t="str">
            <v xml:space="preserve">m³    </v>
          </cell>
          <cell r="I456">
            <v>300</v>
          </cell>
          <cell r="J456">
            <v>338.63</v>
          </cell>
          <cell r="K456">
            <v>282.86</v>
          </cell>
          <cell r="L456">
            <v>101589</v>
          </cell>
        </row>
        <row r="457">
          <cell r="D457" t="str">
            <v xml:space="preserve">  C. 21.            </v>
          </cell>
          <cell r="E457" t="str">
            <v>CP0052</v>
          </cell>
          <cell r="F457" t="str">
            <v>3.6.</v>
          </cell>
          <cell r="G457" t="str">
            <v xml:space="preserve">Preparo e lançamento de concreto simples mínimo de 150 kg cimento/m³  </v>
          </cell>
          <cell r="H457" t="str">
            <v xml:space="preserve">m³    </v>
          </cell>
          <cell r="I457">
            <v>6</v>
          </cell>
          <cell r="J457">
            <v>284.95</v>
          </cell>
          <cell r="K457">
            <v>237.1</v>
          </cell>
          <cell r="L457">
            <v>1709.7</v>
          </cell>
        </row>
        <row r="458">
          <cell r="D458" t="str">
            <v xml:space="preserve">  C. 22.            </v>
          </cell>
          <cell r="E458" t="str">
            <v xml:space="preserve">      </v>
          </cell>
          <cell r="F458" t="str">
            <v>4.</v>
          </cell>
          <cell r="G458" t="str">
            <v xml:space="preserve">Fornecimento de Equipamentos Hidráulicos, Mecânicos e Eletromecânicos, conforme Especificações Técnicas, relativas a cada Equipamento  </v>
          </cell>
          <cell r="H458" t="str">
            <v xml:space="preserve">      </v>
          </cell>
          <cell r="I458">
            <v>0</v>
          </cell>
          <cell r="J458">
            <v>0</v>
          </cell>
          <cell r="K458">
            <v>0</v>
          </cell>
          <cell r="L458">
            <v>0</v>
          </cell>
        </row>
        <row r="459">
          <cell r="D459" t="str">
            <v xml:space="preserve">  C. 23.            </v>
          </cell>
          <cell r="E459" t="str">
            <v>CP1190</v>
          </cell>
          <cell r="F459" t="str">
            <v>4.1.</v>
          </cell>
          <cell r="G459" t="str">
            <v xml:space="preserve">Ponte rolante  </v>
          </cell>
          <cell r="H459" t="str">
            <v xml:space="preserve">un    </v>
          </cell>
          <cell r="I459">
            <v>1</v>
          </cell>
          <cell r="J459">
            <v>233332.05</v>
          </cell>
          <cell r="K459">
            <v>333331.5</v>
          </cell>
          <cell r="L459">
            <v>233332.05</v>
          </cell>
        </row>
        <row r="460">
          <cell r="D460" t="str">
            <v xml:space="preserve">  C. 24.            </v>
          </cell>
          <cell r="E460" t="str">
            <v>CP1178</v>
          </cell>
          <cell r="F460" t="str">
            <v>4.2.</v>
          </cell>
          <cell r="G460" t="str">
            <v xml:space="preserve">Dosador/Extintor de cal  </v>
          </cell>
          <cell r="H460" t="str">
            <v xml:space="preserve">un    </v>
          </cell>
          <cell r="I460">
            <v>2</v>
          </cell>
          <cell r="J460">
            <v>2114022.4300000002</v>
          </cell>
          <cell r="K460">
            <v>1761832.18</v>
          </cell>
          <cell r="L460">
            <v>4228044.8600000003</v>
          </cell>
        </row>
        <row r="461">
          <cell r="D461" t="str">
            <v xml:space="preserve">  C. 25.            </v>
          </cell>
          <cell r="E461" t="str">
            <v>CP1319</v>
          </cell>
          <cell r="F461" t="str">
            <v>4.3.</v>
          </cell>
          <cell r="G461" t="str">
            <v xml:space="preserve">Tanques de dissolução de cal hidratada  </v>
          </cell>
          <cell r="H461" t="str">
            <v xml:space="preserve">un    </v>
          </cell>
          <cell r="I461">
            <v>2</v>
          </cell>
          <cell r="J461">
            <v>11538.29</v>
          </cell>
          <cell r="K461">
            <v>16483.27</v>
          </cell>
          <cell r="L461">
            <v>23076.58</v>
          </cell>
        </row>
        <row r="462">
          <cell r="D462" t="str">
            <v xml:space="preserve">  C. 26.            </v>
          </cell>
          <cell r="E462" t="str">
            <v>CP1398</v>
          </cell>
          <cell r="F462" t="str">
            <v>4.4.</v>
          </cell>
          <cell r="G462" t="str">
            <v xml:space="preserve">Misturador rápido p/ dissolução de cal hidratada  </v>
          </cell>
          <cell r="H462" t="str">
            <v xml:space="preserve">un    </v>
          </cell>
          <cell r="I462">
            <v>2</v>
          </cell>
          <cell r="J462">
            <v>4688.67</v>
          </cell>
          <cell r="K462">
            <v>6698.1</v>
          </cell>
          <cell r="L462">
            <v>9377.34</v>
          </cell>
        </row>
        <row r="463">
          <cell r="D463" t="str">
            <v xml:space="preserve">  C. 27.            </v>
          </cell>
          <cell r="E463" t="str">
            <v>CP1265</v>
          </cell>
          <cell r="F463" t="str">
            <v>4.5.</v>
          </cell>
          <cell r="G463" t="str">
            <v xml:space="preserve">Moto-bomba dosadora de cal hidratada  </v>
          </cell>
          <cell r="H463" t="str">
            <v xml:space="preserve">un    </v>
          </cell>
          <cell r="I463">
            <v>3</v>
          </cell>
          <cell r="J463">
            <v>15253.31</v>
          </cell>
          <cell r="K463">
            <v>12742.01</v>
          </cell>
          <cell r="L463">
            <v>45759.93</v>
          </cell>
        </row>
        <row r="464">
          <cell r="D464" t="str">
            <v xml:space="preserve">  C. 29.            </v>
          </cell>
          <cell r="E464" t="str">
            <v>CP1586</v>
          </cell>
          <cell r="F464" t="str">
            <v>4.6.</v>
          </cell>
          <cell r="G464" t="str">
            <v xml:space="preserve">Exaustor para salas com manuseio de gás cloro  </v>
          </cell>
          <cell r="H464" t="str">
            <v xml:space="preserve">un    </v>
          </cell>
          <cell r="I464">
            <v>8</v>
          </cell>
          <cell r="J464">
            <v>1498.15</v>
          </cell>
          <cell r="K464">
            <v>2140.2199999999998</v>
          </cell>
          <cell r="L464">
            <v>11985.2</v>
          </cell>
        </row>
        <row r="465">
          <cell r="D465" t="str">
            <v xml:space="preserve">  C. 30.            </v>
          </cell>
          <cell r="E465" t="str">
            <v>CP0785</v>
          </cell>
          <cell r="F465" t="str">
            <v>4.7.</v>
          </cell>
          <cell r="G465" t="str">
            <v xml:space="preserve">Caçambas de polietileno 500L com 4 rodas  </v>
          </cell>
          <cell r="H465" t="str">
            <v xml:space="preserve">un    </v>
          </cell>
          <cell r="I465">
            <v>2</v>
          </cell>
          <cell r="J465">
            <v>1118.8</v>
          </cell>
          <cell r="K465">
            <v>936.32</v>
          </cell>
          <cell r="L465">
            <v>2237.6</v>
          </cell>
        </row>
        <row r="466">
          <cell r="D466" t="str">
            <v xml:space="preserve">  C. 31.            </v>
          </cell>
          <cell r="E466" t="str">
            <v>CP1229</v>
          </cell>
          <cell r="F466" t="str">
            <v>4.8.</v>
          </cell>
          <cell r="G466" t="str">
            <v xml:space="preserve">Monovia, troley e talha elétrica  </v>
          </cell>
          <cell r="H466" t="str">
            <v xml:space="preserve">un    </v>
          </cell>
          <cell r="I466">
            <v>2</v>
          </cell>
          <cell r="J466">
            <v>102397.14</v>
          </cell>
          <cell r="K466">
            <v>146281.63</v>
          </cell>
          <cell r="L466">
            <v>204794.28</v>
          </cell>
        </row>
        <row r="467">
          <cell r="D467" t="str">
            <v xml:space="preserve">  C. 32.            </v>
          </cell>
          <cell r="E467" t="str">
            <v>CP1188</v>
          </cell>
          <cell r="F467" t="str">
            <v>4.9.</v>
          </cell>
          <cell r="G467" t="str">
            <v xml:space="preserve">Cloradores a vácuo de gabinete 2000 lb/dia  </v>
          </cell>
          <cell r="H467" t="str">
            <v xml:space="preserve">un    </v>
          </cell>
          <cell r="I467">
            <v>3</v>
          </cell>
          <cell r="J467">
            <v>293200.27</v>
          </cell>
          <cell r="K467">
            <v>325890.95</v>
          </cell>
          <cell r="L467">
            <v>879600.81</v>
          </cell>
        </row>
        <row r="468">
          <cell r="D468" t="str">
            <v xml:space="preserve">  C. 33.            </v>
          </cell>
          <cell r="E468" t="str">
            <v xml:space="preserve">      </v>
          </cell>
          <cell r="F468" t="str">
            <v>5.</v>
          </cell>
          <cell r="G468" t="str">
            <v xml:space="preserve">Montagem de Equipamentos Hidráulicos, Mecânicos e Eletromecânicos, conforme Especificações Técnicas, Relativas a cada Equipamento  </v>
          </cell>
          <cell r="H468" t="str">
            <v xml:space="preserve">      </v>
          </cell>
          <cell r="I468">
            <v>0</v>
          </cell>
          <cell r="J468">
            <v>0</v>
          </cell>
          <cell r="K468">
            <v>0</v>
          </cell>
          <cell r="L468">
            <v>0</v>
          </cell>
        </row>
        <row r="469">
          <cell r="D469" t="str">
            <v xml:space="preserve">  C. 34.            </v>
          </cell>
          <cell r="E469" t="str">
            <v>CP0451</v>
          </cell>
          <cell r="F469" t="str">
            <v>5.1.</v>
          </cell>
          <cell r="G469" t="str">
            <v xml:space="preserve">Ponte Rolante  </v>
          </cell>
          <cell r="H469" t="str">
            <v xml:space="preserve">un    </v>
          </cell>
          <cell r="I469">
            <v>1</v>
          </cell>
          <cell r="J469">
            <v>8336.6200000000008</v>
          </cell>
          <cell r="K469">
            <v>6997.11</v>
          </cell>
          <cell r="L469">
            <v>8336.6200000000008</v>
          </cell>
        </row>
        <row r="470">
          <cell r="D470" t="str">
            <v xml:space="preserve">  C. 35.            </v>
          </cell>
          <cell r="E470" t="str">
            <v>CP0436</v>
          </cell>
          <cell r="F470" t="str">
            <v>5.2.</v>
          </cell>
          <cell r="G470" t="str">
            <v xml:space="preserve">Silo de alimentação dos extintores de cal  </v>
          </cell>
          <cell r="H470" t="str">
            <v xml:space="preserve">un    </v>
          </cell>
          <cell r="I470">
            <v>2</v>
          </cell>
          <cell r="J470">
            <v>1196.17</v>
          </cell>
          <cell r="K470">
            <v>1064.4100000000001</v>
          </cell>
          <cell r="L470">
            <v>2392.34</v>
          </cell>
        </row>
        <row r="471">
          <cell r="D471" t="str">
            <v xml:space="preserve">  C. 36.            </v>
          </cell>
          <cell r="E471" t="str">
            <v>CP0425</v>
          </cell>
          <cell r="F471" t="str">
            <v>5.3.</v>
          </cell>
          <cell r="G471" t="str">
            <v xml:space="preserve">Dosador/Extintor de cal, inclusive treinamento dos técnicos da CAESB  </v>
          </cell>
          <cell r="H471" t="str">
            <v xml:space="preserve">un    </v>
          </cell>
          <cell r="I471">
            <v>2</v>
          </cell>
          <cell r="J471">
            <v>19697.330000000002</v>
          </cell>
          <cell r="K471">
            <v>16472.759999999998</v>
          </cell>
          <cell r="L471">
            <v>39394.660000000003</v>
          </cell>
        </row>
        <row r="472">
          <cell r="D472" t="str">
            <v xml:space="preserve">  C. 37.            </v>
          </cell>
          <cell r="E472" t="str">
            <v>CP0416</v>
          </cell>
          <cell r="F472" t="str">
            <v>5.4.</v>
          </cell>
          <cell r="G472" t="str">
            <v xml:space="preserve">Tanques de dissolução de cal hidratada  </v>
          </cell>
          <cell r="H472" t="str">
            <v xml:space="preserve">un    </v>
          </cell>
          <cell r="I472">
            <v>2</v>
          </cell>
          <cell r="J472">
            <v>886.78</v>
          </cell>
          <cell r="K472">
            <v>740.76</v>
          </cell>
          <cell r="L472">
            <v>1773.56</v>
          </cell>
        </row>
        <row r="473">
          <cell r="D473" t="str">
            <v xml:space="preserve">  C. 38.            </v>
          </cell>
          <cell r="E473" t="str">
            <v>CP0395</v>
          </cell>
          <cell r="F473" t="str">
            <v>5.5.</v>
          </cell>
          <cell r="G473" t="str">
            <v xml:space="preserve">Misturador rápido p/ dissolução de cal hidratada  </v>
          </cell>
          <cell r="H473" t="str">
            <v xml:space="preserve">un    </v>
          </cell>
          <cell r="I473">
            <v>2</v>
          </cell>
          <cell r="J473">
            <v>175.58</v>
          </cell>
          <cell r="K473">
            <v>147.94999999999999</v>
          </cell>
          <cell r="L473">
            <v>351.16</v>
          </cell>
        </row>
        <row r="474">
          <cell r="D474" t="str">
            <v xml:space="preserve">  C. 39.            </v>
          </cell>
          <cell r="E474" t="str">
            <v>CP0385</v>
          </cell>
          <cell r="F474" t="str">
            <v>5.6.</v>
          </cell>
          <cell r="G474" t="str">
            <v xml:space="preserve">Moto-bomba dosadora de cal hidratada, inclusive treinamento dos técnicos da CAESB  </v>
          </cell>
          <cell r="H474" t="str">
            <v xml:space="preserve">un    </v>
          </cell>
          <cell r="I474">
            <v>3</v>
          </cell>
          <cell r="J474">
            <v>4333.1000000000004</v>
          </cell>
          <cell r="K474">
            <v>3730.12</v>
          </cell>
          <cell r="L474">
            <v>12999.3</v>
          </cell>
        </row>
        <row r="475">
          <cell r="D475" t="str">
            <v xml:space="preserve">  C. 41.            </v>
          </cell>
          <cell r="E475" t="str">
            <v>CP0193</v>
          </cell>
          <cell r="F475" t="str">
            <v>5.7.</v>
          </cell>
          <cell r="G475" t="str">
            <v xml:space="preserve">Exaustor para salas com manuseio de gás cloro  </v>
          </cell>
          <cell r="H475" t="str">
            <v xml:space="preserve">un    </v>
          </cell>
          <cell r="I475">
            <v>8</v>
          </cell>
          <cell r="J475">
            <v>57.3</v>
          </cell>
          <cell r="K475">
            <v>48.59</v>
          </cell>
          <cell r="L475">
            <v>458.4</v>
          </cell>
        </row>
        <row r="476">
          <cell r="D476" t="str">
            <v xml:space="preserve">  C. 42.            </v>
          </cell>
          <cell r="E476" t="str">
            <v>CP0191</v>
          </cell>
          <cell r="F476" t="str">
            <v>5.8.</v>
          </cell>
          <cell r="G476" t="str">
            <v xml:space="preserve">Monovia, troley e talha elétrica  </v>
          </cell>
          <cell r="H476" t="str">
            <v xml:space="preserve">un    </v>
          </cell>
          <cell r="I476">
            <v>2</v>
          </cell>
          <cell r="J476">
            <v>3880.74</v>
          </cell>
          <cell r="K476">
            <v>3437.01</v>
          </cell>
          <cell r="L476">
            <v>7761.48</v>
          </cell>
        </row>
        <row r="477">
          <cell r="D477" t="str">
            <v xml:space="preserve">  C. 43.            </v>
          </cell>
          <cell r="E477" t="str">
            <v>CP0272</v>
          </cell>
          <cell r="F477" t="str">
            <v>5.9.</v>
          </cell>
          <cell r="G477" t="str">
            <v xml:space="preserve">Cloradores a vácuo de gabinete 2000 lb/dia, inclusive treinamento dos técnicos da CAESB  </v>
          </cell>
          <cell r="H477" t="str">
            <v xml:space="preserve">un    </v>
          </cell>
          <cell r="I477">
            <v>3</v>
          </cell>
          <cell r="J477">
            <v>9279.16</v>
          </cell>
          <cell r="K477">
            <v>7925.33</v>
          </cell>
          <cell r="L477">
            <v>27837.48</v>
          </cell>
        </row>
        <row r="478">
          <cell r="D478" t="str">
            <v xml:space="preserve">  C. 44.            </v>
          </cell>
          <cell r="E478" t="str">
            <v xml:space="preserve">      </v>
          </cell>
          <cell r="F478" t="str">
            <v>6.</v>
          </cell>
          <cell r="G478" t="str">
            <v xml:space="preserve">Instalações Hidráulico-Sanitárias  </v>
          </cell>
          <cell r="H478" t="str">
            <v xml:space="preserve">      </v>
          </cell>
          <cell r="I478">
            <v>0</v>
          </cell>
          <cell r="J478">
            <v>0</v>
          </cell>
          <cell r="K478">
            <v>0</v>
          </cell>
          <cell r="L478">
            <v>0</v>
          </cell>
        </row>
        <row r="479">
          <cell r="D479" t="str">
            <v xml:space="preserve">  C. 45.            </v>
          </cell>
          <cell r="E479" t="str">
            <v xml:space="preserve">      </v>
          </cell>
          <cell r="F479" t="str">
            <v>6.1.</v>
          </cell>
          <cell r="G479" t="str">
            <v xml:space="preserve">Fornecimento de Tubos, Peças, Conexões e Aparelhos Hidráulicos  </v>
          </cell>
          <cell r="H479" t="str">
            <v xml:space="preserve">      </v>
          </cell>
          <cell r="I479">
            <v>0</v>
          </cell>
          <cell r="J479">
            <v>0</v>
          </cell>
          <cell r="K479">
            <v>0</v>
          </cell>
          <cell r="L479">
            <v>0</v>
          </cell>
        </row>
        <row r="480">
          <cell r="D480" t="str">
            <v xml:space="preserve">  C. 46.            </v>
          </cell>
          <cell r="E480" t="str">
            <v xml:space="preserve">      </v>
          </cell>
          <cell r="F480" t="str">
            <v>6.1.1.</v>
          </cell>
          <cell r="G480" t="str">
            <v xml:space="preserve">PVC - ESGOTO  </v>
          </cell>
          <cell r="H480" t="str">
            <v xml:space="preserve">      </v>
          </cell>
          <cell r="I480">
            <v>0</v>
          </cell>
          <cell r="J480">
            <v>0</v>
          </cell>
          <cell r="K480">
            <v>0</v>
          </cell>
          <cell r="L480">
            <v>0</v>
          </cell>
        </row>
        <row r="481">
          <cell r="D481" t="str">
            <v xml:space="preserve">  C. 47.            </v>
          </cell>
          <cell r="E481" t="str">
            <v xml:space="preserve">      </v>
          </cell>
          <cell r="F481" t="str">
            <v>6.1.1.1.</v>
          </cell>
          <cell r="G481" t="str">
            <v xml:space="preserve">Tubo de PVC branco para esgoto:  </v>
          </cell>
          <cell r="H481" t="str">
            <v xml:space="preserve">      </v>
          </cell>
          <cell r="I481">
            <v>0</v>
          </cell>
          <cell r="J481">
            <v>0</v>
          </cell>
          <cell r="K481">
            <v>0</v>
          </cell>
          <cell r="L481">
            <v>0</v>
          </cell>
        </row>
        <row r="482">
          <cell r="D482" t="str">
            <v xml:space="preserve">  C. 48.            </v>
          </cell>
          <cell r="E482" t="str">
            <v>CP0663</v>
          </cell>
          <cell r="F482" t="str">
            <v>6.1.1.1.1</v>
          </cell>
          <cell r="G482" t="str">
            <v xml:space="preserve">Tubo de PVC branco para esgoto: DN 150  </v>
          </cell>
          <cell r="H482" t="str">
            <v xml:space="preserve">m     </v>
          </cell>
          <cell r="I482">
            <v>98</v>
          </cell>
          <cell r="J482">
            <v>16.23</v>
          </cell>
          <cell r="K482">
            <v>13.57</v>
          </cell>
          <cell r="L482">
            <v>1590.54</v>
          </cell>
        </row>
        <row r="483">
          <cell r="D483" t="str">
            <v xml:space="preserve">  C. 49.            </v>
          </cell>
          <cell r="E483" t="str">
            <v>CP0665</v>
          </cell>
          <cell r="F483" t="str">
            <v>6.1.1.1.2</v>
          </cell>
          <cell r="G483" t="str">
            <v xml:space="preserve">Tubo de PVC branco para esgoto: DN 100  </v>
          </cell>
          <cell r="H483" t="str">
            <v xml:space="preserve">m     </v>
          </cell>
          <cell r="I483">
            <v>130</v>
          </cell>
          <cell r="J483">
            <v>7.77</v>
          </cell>
          <cell r="K483">
            <v>6.48</v>
          </cell>
          <cell r="L483">
            <v>1010.1</v>
          </cell>
        </row>
        <row r="484">
          <cell r="D484" t="str">
            <v xml:space="preserve">  C. 50.            </v>
          </cell>
          <cell r="E484" t="str">
            <v>CP0671</v>
          </cell>
          <cell r="F484" t="str">
            <v>6.1.1.1.3</v>
          </cell>
          <cell r="G484" t="str">
            <v xml:space="preserve">Tubo de PVC branco para esgoto: DN 75  </v>
          </cell>
          <cell r="H484" t="str">
            <v xml:space="preserve">m     </v>
          </cell>
          <cell r="I484">
            <v>24</v>
          </cell>
          <cell r="J484">
            <v>5.46</v>
          </cell>
          <cell r="K484">
            <v>4.57</v>
          </cell>
          <cell r="L484">
            <v>131.04</v>
          </cell>
        </row>
        <row r="485">
          <cell r="D485" t="str">
            <v xml:space="preserve">  C. 51.            </v>
          </cell>
          <cell r="E485" t="str">
            <v>CP0674</v>
          </cell>
          <cell r="F485" t="str">
            <v>6.1.1.1.4</v>
          </cell>
          <cell r="G485" t="str">
            <v xml:space="preserve">Tubo de PVC branco para esgoto: DN 50  </v>
          </cell>
          <cell r="H485" t="str">
            <v xml:space="preserve">m     </v>
          </cell>
          <cell r="I485">
            <v>12</v>
          </cell>
          <cell r="J485">
            <v>3.36</v>
          </cell>
          <cell r="K485">
            <v>2.82</v>
          </cell>
          <cell r="L485">
            <v>40.32</v>
          </cell>
        </row>
        <row r="486">
          <cell r="D486" t="str">
            <v xml:space="preserve">  C. 52.            </v>
          </cell>
          <cell r="E486" t="str">
            <v>CP0678</v>
          </cell>
          <cell r="F486" t="str">
            <v>6.1.1.1.5</v>
          </cell>
          <cell r="G486" t="str">
            <v xml:space="preserve">Tubo de PVC branco para esgoto: DN 40  </v>
          </cell>
          <cell r="H486" t="str">
            <v xml:space="preserve">m     </v>
          </cell>
          <cell r="I486">
            <v>8</v>
          </cell>
          <cell r="J486">
            <v>2.13</v>
          </cell>
          <cell r="K486">
            <v>1.78</v>
          </cell>
          <cell r="L486">
            <v>17.04</v>
          </cell>
        </row>
        <row r="487">
          <cell r="D487" t="str">
            <v xml:space="preserve">  C. 53.            </v>
          </cell>
          <cell r="E487" t="str">
            <v xml:space="preserve">      </v>
          </cell>
          <cell r="F487" t="str">
            <v>6.1.1.2.</v>
          </cell>
          <cell r="G487" t="str">
            <v xml:space="preserve">Joelho PVC branco para esgoto  </v>
          </cell>
          <cell r="H487" t="str">
            <v xml:space="preserve">      </v>
          </cell>
          <cell r="I487">
            <v>0</v>
          </cell>
          <cell r="J487">
            <v>0</v>
          </cell>
          <cell r="K487">
            <v>0</v>
          </cell>
          <cell r="L487">
            <v>0</v>
          </cell>
        </row>
        <row r="488">
          <cell r="D488" t="str">
            <v xml:space="preserve">  C. 54.            </v>
          </cell>
          <cell r="E488" t="str">
            <v>CP0648</v>
          </cell>
          <cell r="F488" t="str">
            <v>6.1.1.2.1</v>
          </cell>
          <cell r="G488" t="str">
            <v xml:space="preserve">Joelho PVC branco para esgoto DN 100  </v>
          </cell>
          <cell r="H488" t="str">
            <v xml:space="preserve">pç    </v>
          </cell>
          <cell r="I488">
            <v>15</v>
          </cell>
          <cell r="J488">
            <v>4.3499999999999996</v>
          </cell>
          <cell r="K488">
            <v>3.64</v>
          </cell>
          <cell r="L488">
            <v>65.25</v>
          </cell>
        </row>
        <row r="489">
          <cell r="D489" t="str">
            <v xml:space="preserve">  C. 55.            </v>
          </cell>
          <cell r="E489" t="str">
            <v>CP0653</v>
          </cell>
          <cell r="F489" t="str">
            <v>6.1.1.2.2</v>
          </cell>
          <cell r="G489" t="str">
            <v xml:space="preserve">Joelho PVC branco para esgoto DN 75  </v>
          </cell>
          <cell r="H489" t="str">
            <v xml:space="preserve">pç    </v>
          </cell>
          <cell r="I489">
            <v>4</v>
          </cell>
          <cell r="J489">
            <v>1.36</v>
          </cell>
          <cell r="K489">
            <v>1.1299999999999999</v>
          </cell>
          <cell r="L489">
            <v>5.44</v>
          </cell>
        </row>
        <row r="490">
          <cell r="D490" t="str">
            <v xml:space="preserve">  C. 56.            </v>
          </cell>
          <cell r="E490" t="str">
            <v>CP0656</v>
          </cell>
          <cell r="F490" t="str">
            <v>6.1.1.2.3</v>
          </cell>
          <cell r="G490" t="str">
            <v xml:space="preserve">Joelho PVC branco para esgoto DN 50  </v>
          </cell>
          <cell r="H490" t="str">
            <v xml:space="preserve">pç    </v>
          </cell>
          <cell r="I490">
            <v>4</v>
          </cell>
          <cell r="J490">
            <v>2.4500000000000002</v>
          </cell>
          <cell r="K490">
            <v>3.5</v>
          </cell>
          <cell r="L490">
            <v>9.8000000000000007</v>
          </cell>
        </row>
        <row r="491">
          <cell r="D491" t="str">
            <v xml:space="preserve">  C. 57.            </v>
          </cell>
          <cell r="E491" t="str">
            <v>CP0659</v>
          </cell>
          <cell r="F491" t="str">
            <v>6.1.1.2.4</v>
          </cell>
          <cell r="G491" t="str">
            <v xml:space="preserve">Joelho PVC branco para esgoto DN 40  </v>
          </cell>
          <cell r="H491" t="str">
            <v xml:space="preserve">pç    </v>
          </cell>
          <cell r="I491">
            <v>2</v>
          </cell>
          <cell r="J491">
            <v>1.03</v>
          </cell>
          <cell r="K491">
            <v>1.06</v>
          </cell>
          <cell r="L491">
            <v>2.06</v>
          </cell>
        </row>
        <row r="492">
          <cell r="D492" t="str">
            <v xml:space="preserve">  C. 58.            </v>
          </cell>
          <cell r="E492" t="str">
            <v xml:space="preserve">      </v>
          </cell>
          <cell r="F492" t="str">
            <v>6.1.1.3.</v>
          </cell>
          <cell r="G492" t="str">
            <v xml:space="preserve">PVC - ESGOTO Joelho 45o  </v>
          </cell>
          <cell r="H492" t="str">
            <v xml:space="preserve">      </v>
          </cell>
          <cell r="I492">
            <v>0</v>
          </cell>
          <cell r="J492">
            <v>0</v>
          </cell>
          <cell r="K492">
            <v>0</v>
          </cell>
          <cell r="L492">
            <v>0</v>
          </cell>
        </row>
        <row r="493">
          <cell r="D493" t="str">
            <v xml:space="preserve">  C. 59.            </v>
          </cell>
          <cell r="E493" t="str">
            <v>CP2214</v>
          </cell>
          <cell r="F493" t="str">
            <v>6.1.1.3.1</v>
          </cell>
          <cell r="G493" t="str">
            <v xml:space="preserve">PVC - ESGOTO Joelho 45o DN 100  </v>
          </cell>
          <cell r="H493" t="str">
            <v xml:space="preserve">pç    </v>
          </cell>
          <cell r="I493">
            <v>1</v>
          </cell>
          <cell r="J493">
            <v>4.83</v>
          </cell>
          <cell r="K493">
            <v>5.83</v>
          </cell>
          <cell r="L493">
            <v>4.83</v>
          </cell>
        </row>
        <row r="494">
          <cell r="D494" t="str">
            <v xml:space="preserve">  C. 60.            </v>
          </cell>
          <cell r="E494" t="str">
            <v>CP2254</v>
          </cell>
          <cell r="F494" t="str">
            <v>6.1.1.3.2</v>
          </cell>
          <cell r="G494" t="str">
            <v xml:space="preserve">PVC - ESGOTO Joelho 45o DN 40 com bolsa para anel  </v>
          </cell>
          <cell r="H494" t="str">
            <v xml:space="preserve">pç    </v>
          </cell>
          <cell r="I494">
            <v>2</v>
          </cell>
          <cell r="J494">
            <v>1.41</v>
          </cell>
          <cell r="K494">
            <v>1.9</v>
          </cell>
          <cell r="L494">
            <v>2.82</v>
          </cell>
        </row>
        <row r="495">
          <cell r="D495" t="str">
            <v xml:space="preserve">  C. 61.            </v>
          </cell>
          <cell r="E495" t="str">
            <v xml:space="preserve">      </v>
          </cell>
          <cell r="F495" t="str">
            <v>6.1.1.4.</v>
          </cell>
          <cell r="G495" t="str">
            <v xml:space="preserve">PVC - ESGOTO Junção simples:  </v>
          </cell>
          <cell r="H495" t="str">
            <v xml:space="preserve">      </v>
          </cell>
          <cell r="I495">
            <v>0</v>
          </cell>
          <cell r="J495">
            <v>0</v>
          </cell>
          <cell r="K495">
            <v>0</v>
          </cell>
          <cell r="L495">
            <v>0</v>
          </cell>
        </row>
        <row r="496">
          <cell r="D496" t="str">
            <v xml:space="preserve">  C. 62.            </v>
          </cell>
          <cell r="E496" t="str">
            <v>CP2093</v>
          </cell>
          <cell r="F496" t="str">
            <v>6.1.1.4.1</v>
          </cell>
          <cell r="G496" t="str">
            <v xml:space="preserve">PVC - ESGOTO Junção simples: DN 100 x 100  </v>
          </cell>
          <cell r="H496" t="str">
            <v xml:space="preserve">pç    </v>
          </cell>
          <cell r="I496">
            <v>1</v>
          </cell>
          <cell r="J496">
            <v>3.33</v>
          </cell>
          <cell r="K496">
            <v>2.78</v>
          </cell>
          <cell r="L496">
            <v>3.33</v>
          </cell>
        </row>
        <row r="497">
          <cell r="D497" t="str">
            <v xml:space="preserve">  C. 63.            </v>
          </cell>
          <cell r="E497" t="str">
            <v>CP2072</v>
          </cell>
          <cell r="F497" t="str">
            <v>6.1.1.4.2</v>
          </cell>
          <cell r="G497" t="str">
            <v xml:space="preserve">PVC - ESGOTO Junção simples: DN 100 x 75  </v>
          </cell>
          <cell r="H497" t="str">
            <v xml:space="preserve">pç    </v>
          </cell>
          <cell r="I497">
            <v>2</v>
          </cell>
          <cell r="J497">
            <v>12.16</v>
          </cell>
          <cell r="K497">
            <v>14.65</v>
          </cell>
          <cell r="L497">
            <v>24.32</v>
          </cell>
        </row>
        <row r="498">
          <cell r="D498" t="str">
            <v xml:space="preserve">  C. 64.            </v>
          </cell>
          <cell r="E498" t="str">
            <v xml:space="preserve">      </v>
          </cell>
          <cell r="F498" t="str">
            <v>6.1.1.5.</v>
          </cell>
          <cell r="G498" t="str">
            <v xml:space="preserve">PVC - ESGOTO Tê sanitário:  </v>
          </cell>
          <cell r="H498" t="str">
            <v xml:space="preserve">      </v>
          </cell>
          <cell r="I498">
            <v>0</v>
          </cell>
          <cell r="J498">
            <v>0</v>
          </cell>
          <cell r="K498">
            <v>0</v>
          </cell>
          <cell r="L498">
            <v>0</v>
          </cell>
        </row>
        <row r="499">
          <cell r="D499" t="str">
            <v xml:space="preserve">  C. 65.            </v>
          </cell>
          <cell r="E499" t="str">
            <v>CP2237</v>
          </cell>
          <cell r="F499" t="str">
            <v>6.1.1.5.1</v>
          </cell>
          <cell r="G499" t="str">
            <v xml:space="preserve">PVC - ESGOTO Tê sanitário: DN 50 x 50  </v>
          </cell>
          <cell r="H499" t="str">
            <v xml:space="preserve">pç    </v>
          </cell>
          <cell r="I499">
            <v>1</v>
          </cell>
          <cell r="J499">
            <v>3.52</v>
          </cell>
          <cell r="K499">
            <v>2.95</v>
          </cell>
          <cell r="L499">
            <v>3.52</v>
          </cell>
        </row>
        <row r="500">
          <cell r="D500" t="str">
            <v xml:space="preserve">  C. 66.            </v>
          </cell>
          <cell r="E500" t="str">
            <v>CP2167</v>
          </cell>
          <cell r="F500" t="str">
            <v>6.1.1.5.2</v>
          </cell>
          <cell r="G500" t="str">
            <v xml:space="preserve">PVC - ESGOTO Tê sanitário: de redução DN 75 x 50  </v>
          </cell>
          <cell r="H500" t="str">
            <v xml:space="preserve">pç    </v>
          </cell>
          <cell r="I500">
            <v>2</v>
          </cell>
          <cell r="J500">
            <v>6.92</v>
          </cell>
          <cell r="K500">
            <v>8.36</v>
          </cell>
          <cell r="L500">
            <v>13.84</v>
          </cell>
        </row>
        <row r="501">
          <cell r="D501" t="str">
            <v xml:space="preserve">  C. 67.            </v>
          </cell>
          <cell r="E501" t="str">
            <v>CP1991</v>
          </cell>
          <cell r="F501" t="str">
            <v>6.1.1.6.</v>
          </cell>
          <cell r="G501" t="str">
            <v xml:space="preserve">Vedação para saída de vaso sanitário  </v>
          </cell>
          <cell r="H501" t="str">
            <v xml:space="preserve">pç    </v>
          </cell>
          <cell r="I501">
            <v>2</v>
          </cell>
          <cell r="J501">
            <v>2.6</v>
          </cell>
          <cell r="K501">
            <v>2.17</v>
          </cell>
          <cell r="L501">
            <v>5.2</v>
          </cell>
        </row>
        <row r="502">
          <cell r="D502" t="str">
            <v xml:space="preserve">  C. 68.            </v>
          </cell>
          <cell r="E502" t="str">
            <v xml:space="preserve">      </v>
          </cell>
          <cell r="F502" t="str">
            <v>6.1.1.7.</v>
          </cell>
          <cell r="G502" t="str">
            <v xml:space="preserve">Caixa sifonada, com grelha cromada, completa:  </v>
          </cell>
          <cell r="H502" t="str">
            <v xml:space="preserve">      </v>
          </cell>
          <cell r="I502">
            <v>0</v>
          </cell>
          <cell r="J502">
            <v>0</v>
          </cell>
          <cell r="K502">
            <v>0</v>
          </cell>
          <cell r="L502">
            <v>0</v>
          </cell>
        </row>
        <row r="503">
          <cell r="D503" t="str">
            <v xml:space="preserve">  C. 69.            </v>
          </cell>
          <cell r="E503" t="str">
            <v>CP1997</v>
          </cell>
          <cell r="F503" t="str">
            <v>6.1.1.7.1</v>
          </cell>
          <cell r="G503" t="str">
            <v xml:space="preserve">Caixa sifonada, com grelha cromada, completa: 150 x 185 x 75  </v>
          </cell>
          <cell r="H503" t="str">
            <v xml:space="preserve">pç    </v>
          </cell>
          <cell r="I503">
            <v>4</v>
          </cell>
          <cell r="J503">
            <v>10.039999999999999</v>
          </cell>
          <cell r="K503">
            <v>8.42</v>
          </cell>
          <cell r="L503">
            <v>40.159999999999997</v>
          </cell>
        </row>
        <row r="504">
          <cell r="D504" t="str">
            <v xml:space="preserve">  C. 70.            </v>
          </cell>
          <cell r="E504" t="str">
            <v xml:space="preserve">      </v>
          </cell>
          <cell r="F504" t="str">
            <v>6.1.2.</v>
          </cell>
          <cell r="G504" t="str">
            <v xml:space="preserve">PVC ÁGUA FRIA  </v>
          </cell>
          <cell r="H504" t="str">
            <v xml:space="preserve">      </v>
          </cell>
          <cell r="I504">
            <v>0</v>
          </cell>
          <cell r="J504">
            <v>0</v>
          </cell>
          <cell r="K504">
            <v>0</v>
          </cell>
          <cell r="L504">
            <v>0</v>
          </cell>
        </row>
        <row r="505">
          <cell r="D505" t="str">
            <v xml:space="preserve">  C. 71.            </v>
          </cell>
          <cell r="E505" t="str">
            <v xml:space="preserve">      </v>
          </cell>
          <cell r="F505" t="str">
            <v>6.1.2.1.</v>
          </cell>
          <cell r="G505" t="str">
            <v xml:space="preserve">Tubo de PVC soldável:  </v>
          </cell>
          <cell r="H505" t="str">
            <v xml:space="preserve">      </v>
          </cell>
          <cell r="I505">
            <v>0</v>
          </cell>
          <cell r="J505">
            <v>0</v>
          </cell>
          <cell r="K505">
            <v>0</v>
          </cell>
          <cell r="L505">
            <v>0</v>
          </cell>
        </row>
        <row r="506">
          <cell r="D506" t="str">
            <v xml:space="preserve">  C. 72.            </v>
          </cell>
          <cell r="E506" t="str">
            <v>CP0901</v>
          </cell>
          <cell r="F506" t="str">
            <v>6.1.2.1.1</v>
          </cell>
          <cell r="G506" t="str">
            <v xml:space="preserve">Tubo de PVC soldável: DN 20  </v>
          </cell>
          <cell r="H506" t="str">
            <v xml:space="preserve">m     </v>
          </cell>
          <cell r="I506">
            <v>12</v>
          </cell>
          <cell r="J506">
            <v>1.19</v>
          </cell>
          <cell r="K506">
            <v>1</v>
          </cell>
          <cell r="L506">
            <v>14.28</v>
          </cell>
        </row>
        <row r="507">
          <cell r="D507" t="str">
            <v xml:space="preserve">  C. 73.            </v>
          </cell>
          <cell r="E507" t="str">
            <v>CP0896</v>
          </cell>
          <cell r="F507" t="str">
            <v>6.1.2.1.2</v>
          </cell>
          <cell r="G507" t="str">
            <v xml:space="preserve">Tubo de PVC soldável: DN 25  </v>
          </cell>
          <cell r="H507" t="str">
            <v xml:space="preserve">m     </v>
          </cell>
          <cell r="I507">
            <v>48</v>
          </cell>
          <cell r="J507">
            <v>1.71</v>
          </cell>
          <cell r="K507">
            <v>1.43</v>
          </cell>
          <cell r="L507">
            <v>82.08</v>
          </cell>
        </row>
        <row r="508">
          <cell r="D508" t="str">
            <v xml:space="preserve">  C. 74.            </v>
          </cell>
          <cell r="E508" t="str">
            <v>CP0891</v>
          </cell>
          <cell r="F508" t="str">
            <v>6.1.2.1.3</v>
          </cell>
          <cell r="G508" t="str">
            <v xml:space="preserve">Tubo de PVC soldável: DN 32  </v>
          </cell>
          <cell r="H508" t="str">
            <v xml:space="preserve">m     </v>
          </cell>
          <cell r="I508">
            <v>12</v>
          </cell>
          <cell r="J508">
            <v>2.68</v>
          </cell>
          <cell r="K508">
            <v>2.2400000000000002</v>
          </cell>
          <cell r="L508">
            <v>32.159999999999997</v>
          </cell>
        </row>
        <row r="509">
          <cell r="D509" t="str">
            <v xml:space="preserve">  C. 75.            </v>
          </cell>
          <cell r="E509" t="str">
            <v>CP0887</v>
          </cell>
          <cell r="F509" t="str">
            <v>6.1.2.1.4</v>
          </cell>
          <cell r="G509" t="str">
            <v xml:space="preserve">Tubo de PVC soldável: DN 40  </v>
          </cell>
          <cell r="H509" t="str">
            <v xml:space="preserve">m     </v>
          </cell>
          <cell r="I509">
            <v>12</v>
          </cell>
          <cell r="J509">
            <v>3.9</v>
          </cell>
          <cell r="K509">
            <v>3.27</v>
          </cell>
          <cell r="L509">
            <v>46.8</v>
          </cell>
        </row>
        <row r="510">
          <cell r="D510" t="str">
            <v xml:space="preserve">  C. 76.            </v>
          </cell>
          <cell r="E510" t="str">
            <v>CP0881</v>
          </cell>
          <cell r="F510" t="str">
            <v>6.1.2.1.5</v>
          </cell>
          <cell r="G510" t="str">
            <v xml:space="preserve">Tubo de PVC soldável: DN 50  </v>
          </cell>
          <cell r="H510" t="str">
            <v xml:space="preserve">m     </v>
          </cell>
          <cell r="I510">
            <v>12</v>
          </cell>
          <cell r="J510">
            <v>6.02</v>
          </cell>
          <cell r="K510">
            <v>5.04</v>
          </cell>
          <cell r="L510">
            <v>72.239999999999995</v>
          </cell>
        </row>
        <row r="511">
          <cell r="D511" t="str">
            <v xml:space="preserve">  C. 77.            </v>
          </cell>
          <cell r="E511" t="str">
            <v>CP0876</v>
          </cell>
          <cell r="F511" t="str">
            <v>6.1.2.1.6</v>
          </cell>
          <cell r="G511" t="str">
            <v xml:space="preserve">Tubo de PVC soldável: DN 60  </v>
          </cell>
          <cell r="H511" t="str">
            <v xml:space="preserve">m     </v>
          </cell>
          <cell r="I511">
            <v>6</v>
          </cell>
          <cell r="J511">
            <v>8</v>
          </cell>
          <cell r="K511">
            <v>6.72</v>
          </cell>
          <cell r="L511">
            <v>48</v>
          </cell>
        </row>
        <row r="512">
          <cell r="D512" t="str">
            <v xml:space="preserve">  C. 78.            </v>
          </cell>
          <cell r="E512" t="str">
            <v>CP0781</v>
          </cell>
          <cell r="F512" t="str">
            <v>6.1.2.1.7</v>
          </cell>
          <cell r="G512" t="str">
            <v xml:space="preserve">Tubo de PVC soldável: DN 75  </v>
          </cell>
          <cell r="H512" t="str">
            <v xml:space="preserve">m     </v>
          </cell>
          <cell r="I512">
            <v>18</v>
          </cell>
          <cell r="J512">
            <v>12.85</v>
          </cell>
          <cell r="K512">
            <v>10.76</v>
          </cell>
          <cell r="L512">
            <v>231.3</v>
          </cell>
        </row>
        <row r="513">
          <cell r="D513" t="str">
            <v xml:space="preserve">  C. 79.            </v>
          </cell>
          <cell r="E513" t="str">
            <v>CP2034</v>
          </cell>
          <cell r="F513" t="str">
            <v>6.1.2.1.8</v>
          </cell>
          <cell r="G513" t="str">
            <v xml:space="preserve">Tubo de PVC soldável: DN 85  </v>
          </cell>
          <cell r="H513" t="str">
            <v xml:space="preserve">m     </v>
          </cell>
          <cell r="I513">
            <v>24</v>
          </cell>
          <cell r="J513">
            <v>16.239999999999998</v>
          </cell>
          <cell r="K513">
            <v>13.56</v>
          </cell>
          <cell r="L513">
            <v>389.76</v>
          </cell>
        </row>
        <row r="514">
          <cell r="D514" t="str">
            <v xml:space="preserve">  C. 80.            </v>
          </cell>
          <cell r="E514" t="str">
            <v xml:space="preserve">      </v>
          </cell>
          <cell r="F514" t="str">
            <v>6.1.2.2.</v>
          </cell>
          <cell r="G514" t="str">
            <v xml:space="preserve">Adaptador soldável curto, com bolsa e rosca para registro:  </v>
          </cell>
          <cell r="H514" t="str">
            <v xml:space="preserve">      </v>
          </cell>
          <cell r="I514">
            <v>0</v>
          </cell>
          <cell r="J514">
            <v>0</v>
          </cell>
          <cell r="K514">
            <v>0</v>
          </cell>
          <cell r="L514">
            <v>0</v>
          </cell>
        </row>
        <row r="515">
          <cell r="D515" t="str">
            <v xml:space="preserve">  C. 81.            </v>
          </cell>
          <cell r="E515" t="str">
            <v>CP0860</v>
          </cell>
          <cell r="F515" t="str">
            <v>6.1.2.2.1</v>
          </cell>
          <cell r="G515" t="str">
            <v xml:space="preserve">Adaptador soldável curto, com bolsa e rosca para registro: DN 50 x 1/ 1/2  </v>
          </cell>
          <cell r="H515" t="str">
            <v xml:space="preserve">pç    </v>
          </cell>
          <cell r="I515">
            <v>12</v>
          </cell>
          <cell r="J515">
            <v>0.8</v>
          </cell>
          <cell r="K515">
            <v>0.67</v>
          </cell>
          <cell r="L515">
            <v>9.6</v>
          </cell>
        </row>
        <row r="516">
          <cell r="D516" t="str">
            <v xml:space="preserve">  C. 82.            </v>
          </cell>
          <cell r="E516" t="str">
            <v>CP0868</v>
          </cell>
          <cell r="F516" t="str">
            <v>6.1.2.2.2</v>
          </cell>
          <cell r="G516" t="str">
            <v xml:space="preserve">Adaptador soldável curto, com bolsa e rosca para registro: DN 25 x 3/4  </v>
          </cell>
          <cell r="H516" t="str">
            <v xml:space="preserve">pç    </v>
          </cell>
          <cell r="I516">
            <v>2</v>
          </cell>
          <cell r="J516">
            <v>0.13</v>
          </cell>
          <cell r="K516">
            <v>0.11</v>
          </cell>
          <cell r="L516">
            <v>0.26</v>
          </cell>
        </row>
        <row r="517">
          <cell r="D517" t="str">
            <v xml:space="preserve">  C. 83.            </v>
          </cell>
          <cell r="E517" t="str">
            <v>CP0872</v>
          </cell>
          <cell r="F517" t="str">
            <v>6.1.2.2.3</v>
          </cell>
          <cell r="G517" t="str">
            <v xml:space="preserve">Adaptador soldável curto, com bolsa e rosca para registro: DN 20 x 1/2  </v>
          </cell>
          <cell r="H517" t="str">
            <v xml:space="preserve">pç    </v>
          </cell>
          <cell r="I517">
            <v>4</v>
          </cell>
          <cell r="J517">
            <v>0.12</v>
          </cell>
          <cell r="K517">
            <v>0.1</v>
          </cell>
          <cell r="L517">
            <v>0.48</v>
          </cell>
        </row>
        <row r="518">
          <cell r="D518" t="str">
            <v xml:space="preserve">  C. 84.            </v>
          </cell>
          <cell r="E518" t="str">
            <v xml:space="preserve">      </v>
          </cell>
          <cell r="F518" t="str">
            <v>6.1.2.3.</v>
          </cell>
          <cell r="G518" t="str">
            <v xml:space="preserve">Adaptador soldável, com flanges livres para caixa dágua:  </v>
          </cell>
          <cell r="H518" t="str">
            <v xml:space="preserve">      </v>
          </cell>
          <cell r="I518">
            <v>0</v>
          </cell>
          <cell r="J518">
            <v>0</v>
          </cell>
          <cell r="K518">
            <v>0</v>
          </cell>
          <cell r="L518">
            <v>0</v>
          </cell>
        </row>
        <row r="519">
          <cell r="D519" t="str">
            <v xml:space="preserve">  C. 85.            </v>
          </cell>
          <cell r="E519" t="str">
            <v>CP2030</v>
          </cell>
          <cell r="F519" t="str">
            <v>6.1.2.3.1</v>
          </cell>
          <cell r="G519" t="str">
            <v xml:space="preserve">Adaptador soldável, com flanges livres para caixa dágua: DN 50 x 1 1/2  </v>
          </cell>
          <cell r="H519" t="str">
            <v xml:space="preserve">pç    </v>
          </cell>
          <cell r="I519">
            <v>2</v>
          </cell>
          <cell r="J519">
            <v>20.440000000000001</v>
          </cell>
          <cell r="K519">
            <v>19.36</v>
          </cell>
          <cell r="L519">
            <v>40.880000000000003</v>
          </cell>
        </row>
        <row r="520">
          <cell r="D520" t="str">
            <v xml:space="preserve">  C. 86.            </v>
          </cell>
          <cell r="E520" t="str">
            <v xml:space="preserve">      </v>
          </cell>
          <cell r="F520" t="str">
            <v>6.1.2.4.</v>
          </cell>
          <cell r="G520" t="str">
            <v xml:space="preserve">PVC ÁGUA FRIA Bucha de redução soldável curta:  </v>
          </cell>
          <cell r="H520" t="str">
            <v xml:space="preserve">      </v>
          </cell>
          <cell r="I520">
            <v>0</v>
          </cell>
          <cell r="J520">
            <v>0</v>
          </cell>
          <cell r="K520">
            <v>0</v>
          </cell>
          <cell r="L520">
            <v>0</v>
          </cell>
        </row>
        <row r="521">
          <cell r="D521" t="str">
            <v xml:space="preserve">  C. 87.            </v>
          </cell>
          <cell r="E521" t="str">
            <v>CP0786</v>
          </cell>
          <cell r="F521" t="str">
            <v>6.1.2.4.1</v>
          </cell>
          <cell r="G521" t="str">
            <v xml:space="preserve">PVC ÁGUA FRIA Bucha de redução soldável curta: DN 50 x 40  </v>
          </cell>
          <cell r="H521" t="str">
            <v xml:space="preserve">pç    </v>
          </cell>
          <cell r="I521">
            <v>1</v>
          </cell>
          <cell r="J521">
            <v>1.53</v>
          </cell>
          <cell r="K521">
            <v>1.27</v>
          </cell>
          <cell r="L521">
            <v>1.53</v>
          </cell>
        </row>
        <row r="522">
          <cell r="D522" t="str">
            <v xml:space="preserve">  C. 88.            </v>
          </cell>
          <cell r="E522" t="str">
            <v>CP0853</v>
          </cell>
          <cell r="F522" t="str">
            <v>6.1.2.4.2</v>
          </cell>
          <cell r="G522" t="str">
            <v xml:space="preserve">PVC ÁGUA FRIA Bucha de redução soldável curta: DN 32 x 25  </v>
          </cell>
          <cell r="H522" t="str">
            <v xml:space="preserve">pç    </v>
          </cell>
          <cell r="I522">
            <v>1</v>
          </cell>
          <cell r="J522">
            <v>0.42</v>
          </cell>
          <cell r="K522">
            <v>0.35</v>
          </cell>
          <cell r="L522">
            <v>0.42</v>
          </cell>
        </row>
        <row r="523">
          <cell r="D523" t="str">
            <v xml:space="preserve">  C. 89.            </v>
          </cell>
          <cell r="E523" t="str">
            <v xml:space="preserve">      </v>
          </cell>
          <cell r="F523" t="str">
            <v>6.1.2.5.</v>
          </cell>
          <cell r="G523" t="str">
            <v xml:space="preserve">PVC ÁGUA FRIA Bucha de redução soldável longa:  </v>
          </cell>
          <cell r="H523" t="str">
            <v xml:space="preserve">      </v>
          </cell>
          <cell r="I523">
            <v>0</v>
          </cell>
          <cell r="J523">
            <v>0</v>
          </cell>
          <cell r="K523">
            <v>0</v>
          </cell>
          <cell r="L523">
            <v>0</v>
          </cell>
        </row>
        <row r="524">
          <cell r="D524" t="str">
            <v xml:space="preserve">  C. 90.            </v>
          </cell>
          <cell r="E524" t="str">
            <v>CP2053</v>
          </cell>
          <cell r="F524" t="str">
            <v>6.1.2.5.1</v>
          </cell>
          <cell r="G524" t="str">
            <v xml:space="preserve">PVC ÁGUA FRIA Bucha de redução soldável longa: DN 150 x 25  </v>
          </cell>
          <cell r="H524" t="str">
            <v xml:space="preserve">pç    </v>
          </cell>
          <cell r="I524">
            <v>1</v>
          </cell>
          <cell r="J524">
            <v>10.38</v>
          </cell>
          <cell r="K524">
            <v>8.69</v>
          </cell>
          <cell r="L524">
            <v>10.38</v>
          </cell>
        </row>
        <row r="525">
          <cell r="D525" t="str">
            <v xml:space="preserve">  C. 91.            </v>
          </cell>
          <cell r="E525" t="str">
            <v>CP0716</v>
          </cell>
          <cell r="F525" t="str">
            <v>6.1.2.5.2</v>
          </cell>
          <cell r="G525" t="str">
            <v xml:space="preserve">PVC ÁGUA FRIA Bucha de redução soldável longa: DN 60 x 32  </v>
          </cell>
          <cell r="H525" t="str">
            <v xml:space="preserve">pç    </v>
          </cell>
          <cell r="I525">
            <v>2</v>
          </cell>
          <cell r="J525">
            <v>1.48</v>
          </cell>
          <cell r="K525">
            <v>1.24</v>
          </cell>
          <cell r="L525">
            <v>2.96</v>
          </cell>
        </row>
        <row r="526">
          <cell r="D526" t="str">
            <v xml:space="preserve">  C. 92.            </v>
          </cell>
          <cell r="E526" t="str">
            <v>CP2290</v>
          </cell>
          <cell r="F526" t="str">
            <v>6.1.2.5.3</v>
          </cell>
          <cell r="G526" t="str">
            <v xml:space="preserve">PVC ÁGUA FRIA Bucha de redução soldável longa: DN 50 x 25  </v>
          </cell>
          <cell r="H526" t="str">
            <v xml:space="preserve">pç    </v>
          </cell>
          <cell r="I526">
            <v>1</v>
          </cell>
          <cell r="J526">
            <v>1.57</v>
          </cell>
          <cell r="K526">
            <v>1.31</v>
          </cell>
          <cell r="L526">
            <v>1.57</v>
          </cell>
        </row>
        <row r="527">
          <cell r="D527" t="str">
            <v xml:space="preserve">  C. 93.            </v>
          </cell>
          <cell r="E527" t="str">
            <v>CP0770</v>
          </cell>
          <cell r="F527" t="str">
            <v>6.1.2.5.4</v>
          </cell>
          <cell r="G527" t="str">
            <v xml:space="preserve">PVC ÁGUA FRIA Bucha de redução soldável longa: DN 40 x 25  </v>
          </cell>
          <cell r="H527" t="str">
            <v xml:space="preserve">pç    </v>
          </cell>
          <cell r="I527">
            <v>1</v>
          </cell>
          <cell r="J527">
            <v>0.55000000000000004</v>
          </cell>
          <cell r="K527">
            <v>0.46</v>
          </cell>
          <cell r="L527">
            <v>0.55000000000000004</v>
          </cell>
        </row>
        <row r="528">
          <cell r="D528" t="str">
            <v xml:space="preserve">  C. 94.            </v>
          </cell>
          <cell r="E528" t="str">
            <v xml:space="preserve">      </v>
          </cell>
          <cell r="F528" t="str">
            <v>6.1.2.6.</v>
          </cell>
          <cell r="G528" t="str">
            <v xml:space="preserve">PVC ÁGUA FRIA Luva simples  </v>
          </cell>
          <cell r="H528" t="str">
            <v xml:space="preserve">      </v>
          </cell>
          <cell r="I528">
            <v>0</v>
          </cell>
          <cell r="J528">
            <v>0</v>
          </cell>
          <cell r="K528">
            <v>0</v>
          </cell>
          <cell r="L528">
            <v>0</v>
          </cell>
        </row>
        <row r="529">
          <cell r="D529" t="str">
            <v xml:space="preserve">  C. 95.            </v>
          </cell>
          <cell r="E529" t="str">
            <v>CP1951</v>
          </cell>
          <cell r="F529" t="str">
            <v>6.1.2.6.1</v>
          </cell>
          <cell r="G529" t="str">
            <v xml:space="preserve">PVC ÁGUA FRIA Luva simples DN 100  </v>
          </cell>
          <cell r="H529" t="str">
            <v xml:space="preserve">pç    </v>
          </cell>
          <cell r="I529">
            <v>14</v>
          </cell>
          <cell r="J529">
            <v>3.33</v>
          </cell>
          <cell r="K529">
            <v>2.78</v>
          </cell>
          <cell r="L529">
            <v>46.62</v>
          </cell>
        </row>
        <row r="530">
          <cell r="D530" t="str">
            <v xml:space="preserve">  C. 96.            </v>
          </cell>
          <cell r="E530" t="str">
            <v>CP1999</v>
          </cell>
          <cell r="F530" t="str">
            <v>6.1.2.6.2</v>
          </cell>
          <cell r="G530" t="str">
            <v xml:space="preserve">PVC ÁGUA FRIA Luva simples DN 75  </v>
          </cell>
          <cell r="H530" t="str">
            <v xml:space="preserve">pç    </v>
          </cell>
          <cell r="I530">
            <v>2</v>
          </cell>
          <cell r="J530">
            <v>4.47</v>
          </cell>
          <cell r="K530">
            <v>3.73</v>
          </cell>
          <cell r="L530">
            <v>8.94</v>
          </cell>
        </row>
        <row r="531">
          <cell r="D531" t="str">
            <v xml:space="preserve">  C. 97.            </v>
          </cell>
          <cell r="E531" t="str">
            <v>CP2123</v>
          </cell>
          <cell r="F531" t="str">
            <v>6.1.2.6.3</v>
          </cell>
          <cell r="G531" t="str">
            <v xml:space="preserve">PVC ÁGUA FRIA Luva simples DN 50  </v>
          </cell>
          <cell r="H531" t="str">
            <v xml:space="preserve">pç    </v>
          </cell>
          <cell r="I531">
            <v>2</v>
          </cell>
          <cell r="J531">
            <v>2.2200000000000002</v>
          </cell>
          <cell r="K531">
            <v>1.85</v>
          </cell>
          <cell r="L531">
            <v>4.4400000000000004</v>
          </cell>
        </row>
        <row r="532">
          <cell r="D532" t="str">
            <v xml:space="preserve">  C. 98.            </v>
          </cell>
          <cell r="E532" t="str">
            <v xml:space="preserve">      </v>
          </cell>
          <cell r="F532" t="str">
            <v>6.1.2.7.</v>
          </cell>
          <cell r="G532" t="str">
            <v xml:space="preserve">PVC ÁGUA FRIA Joelho 90o soldável:  </v>
          </cell>
          <cell r="H532" t="str">
            <v xml:space="preserve">      </v>
          </cell>
          <cell r="I532">
            <v>0</v>
          </cell>
          <cell r="J532">
            <v>0</v>
          </cell>
          <cell r="K532">
            <v>0</v>
          </cell>
          <cell r="L532">
            <v>0</v>
          </cell>
        </row>
        <row r="533">
          <cell r="D533" t="str">
            <v xml:space="preserve">  C. 99.            </v>
          </cell>
          <cell r="E533" t="str">
            <v>CP0758</v>
          </cell>
          <cell r="F533" t="str">
            <v>6.1.2.7.1</v>
          </cell>
          <cell r="G533" t="str">
            <v xml:space="preserve">PVC ÁGUA FRIA Joelho 90o soldável: DN 85  </v>
          </cell>
          <cell r="H533" t="str">
            <v xml:space="preserve">pç    </v>
          </cell>
          <cell r="I533">
            <v>1</v>
          </cell>
          <cell r="J533">
            <v>46.22</v>
          </cell>
          <cell r="K533">
            <v>38.64</v>
          </cell>
          <cell r="L533">
            <v>46.22</v>
          </cell>
        </row>
        <row r="534">
          <cell r="D534" t="str">
            <v xml:space="preserve">  C.100.            </v>
          </cell>
          <cell r="E534" t="str">
            <v>CP0760</v>
          </cell>
          <cell r="F534" t="str">
            <v>6.1.2.7.2</v>
          </cell>
          <cell r="G534" t="str">
            <v xml:space="preserve">PVC ÁGUA FRIA Joelho 90o soldável: DN 75  </v>
          </cell>
          <cell r="H534" t="str">
            <v xml:space="preserve">pç    </v>
          </cell>
          <cell r="I534">
            <v>3</v>
          </cell>
          <cell r="J534">
            <v>41.03</v>
          </cell>
          <cell r="K534">
            <v>34.299999999999997</v>
          </cell>
          <cell r="L534">
            <v>123.09</v>
          </cell>
        </row>
        <row r="535">
          <cell r="D535" t="str">
            <v xml:space="preserve">  C.101.            </v>
          </cell>
          <cell r="E535" t="str">
            <v>CP0826</v>
          </cell>
          <cell r="F535" t="str">
            <v>6.1.2.7.3</v>
          </cell>
          <cell r="G535" t="str">
            <v xml:space="preserve">PVC ÁGUA FRIA Joelho 90o soldável: DN 60  </v>
          </cell>
          <cell r="H535" t="str">
            <v xml:space="preserve">pç    </v>
          </cell>
          <cell r="I535">
            <v>5</v>
          </cell>
          <cell r="J535">
            <v>10.65</v>
          </cell>
          <cell r="K535">
            <v>8.89</v>
          </cell>
          <cell r="L535">
            <v>53.25</v>
          </cell>
        </row>
        <row r="536">
          <cell r="D536" t="str">
            <v xml:space="preserve">  C.102.            </v>
          </cell>
          <cell r="E536" t="str">
            <v>CP0839</v>
          </cell>
          <cell r="F536" t="str">
            <v>6.1.2.7.4</v>
          </cell>
          <cell r="G536" t="str">
            <v xml:space="preserve">PVC ÁGUA FRIA Joelho 90o soldável: DN 32  </v>
          </cell>
          <cell r="H536" t="str">
            <v xml:space="preserve">pç    </v>
          </cell>
          <cell r="I536">
            <v>2</v>
          </cell>
          <cell r="J536">
            <v>0.42</v>
          </cell>
          <cell r="K536">
            <v>0.35</v>
          </cell>
          <cell r="L536">
            <v>0.84</v>
          </cell>
        </row>
        <row r="537">
          <cell r="D537" t="str">
            <v xml:space="preserve">  C.103.            </v>
          </cell>
          <cell r="E537" t="str">
            <v>CP0844</v>
          </cell>
          <cell r="F537" t="str">
            <v>6.1.2.7.5</v>
          </cell>
          <cell r="G537" t="str">
            <v xml:space="preserve">PVC ÁGUA FRIA Joelho 90o soldável: DN 25  </v>
          </cell>
          <cell r="H537" t="str">
            <v xml:space="preserve">pç    </v>
          </cell>
          <cell r="I537">
            <v>16</v>
          </cell>
          <cell r="J537">
            <v>0.28000000000000003</v>
          </cell>
          <cell r="K537">
            <v>0.24</v>
          </cell>
          <cell r="L537">
            <v>4.4800000000000004</v>
          </cell>
        </row>
        <row r="538">
          <cell r="D538" t="str">
            <v xml:space="preserve">  C.104.            </v>
          </cell>
          <cell r="E538" t="str">
            <v xml:space="preserve">      </v>
          </cell>
          <cell r="F538" t="str">
            <v>6.1.2.8.</v>
          </cell>
          <cell r="G538" t="str">
            <v xml:space="preserve">PVC ÁGUA FRIA Joelho 90o soldável com bucha de latão:  </v>
          </cell>
          <cell r="H538" t="str">
            <v xml:space="preserve">      </v>
          </cell>
          <cell r="I538">
            <v>0</v>
          </cell>
          <cell r="J538">
            <v>0</v>
          </cell>
          <cell r="K538">
            <v>0</v>
          </cell>
          <cell r="L538">
            <v>0</v>
          </cell>
        </row>
        <row r="539">
          <cell r="D539" t="str">
            <v xml:space="preserve">  C.105.            </v>
          </cell>
          <cell r="E539" t="str">
            <v>CP2209</v>
          </cell>
          <cell r="F539" t="str">
            <v>6.1.2.8.1</v>
          </cell>
          <cell r="G539" t="str">
            <v xml:space="preserve">PVC ÁGUA FRIA Joelho 90o soldável com bucha de latão: DN 25 x 3/4  </v>
          </cell>
          <cell r="H539" t="str">
            <v xml:space="preserve">pç    </v>
          </cell>
          <cell r="I539">
            <v>3</v>
          </cell>
          <cell r="J539">
            <v>2.12</v>
          </cell>
          <cell r="K539">
            <v>1.78</v>
          </cell>
          <cell r="L539">
            <v>6.36</v>
          </cell>
        </row>
        <row r="540">
          <cell r="D540" t="str">
            <v xml:space="preserve">  C.106.            </v>
          </cell>
          <cell r="E540" t="str">
            <v>CP2221</v>
          </cell>
          <cell r="F540" t="str">
            <v>6.1.2.8.2</v>
          </cell>
          <cell r="G540" t="str">
            <v xml:space="preserve">PVC ÁGUA FRIA Joelho 90o soldável com bucha de latão: DN 20 x 1/2  </v>
          </cell>
          <cell r="H540" t="str">
            <v xml:space="preserve">pç    </v>
          </cell>
          <cell r="I540">
            <v>2</v>
          </cell>
          <cell r="J540">
            <v>3.22</v>
          </cell>
          <cell r="K540">
            <v>4.0999999999999996</v>
          </cell>
          <cell r="L540">
            <v>6.44</v>
          </cell>
        </row>
        <row r="541">
          <cell r="D541" t="str">
            <v xml:space="preserve">  C.107.            </v>
          </cell>
          <cell r="E541" t="str">
            <v xml:space="preserve">      </v>
          </cell>
          <cell r="F541" t="str">
            <v>6.1.2.9.</v>
          </cell>
          <cell r="G541" t="str">
            <v xml:space="preserve">PVC ÁGUA FRIA Luva soldável e com rosca  </v>
          </cell>
          <cell r="H541" t="str">
            <v xml:space="preserve">      </v>
          </cell>
          <cell r="I541">
            <v>0</v>
          </cell>
          <cell r="J541">
            <v>0</v>
          </cell>
          <cell r="K541">
            <v>0</v>
          </cell>
          <cell r="L541">
            <v>0</v>
          </cell>
        </row>
        <row r="542">
          <cell r="D542" t="str">
            <v xml:space="preserve">  C.108.            </v>
          </cell>
          <cell r="E542" t="str">
            <v>CP0824</v>
          </cell>
          <cell r="F542" t="str">
            <v>6.1.2.9.1</v>
          </cell>
          <cell r="G542" t="str">
            <v xml:space="preserve">PVC ÁGUA FRIA Luva soldável e com rosca DN 25 x 3/4  </v>
          </cell>
          <cell r="H542" t="str">
            <v xml:space="preserve">pç    </v>
          </cell>
          <cell r="I542">
            <v>1</v>
          </cell>
          <cell r="J542">
            <v>0.74</v>
          </cell>
          <cell r="K542">
            <v>0.62</v>
          </cell>
          <cell r="L542">
            <v>0.74</v>
          </cell>
        </row>
        <row r="543">
          <cell r="D543" t="str">
            <v xml:space="preserve">  C.109.            </v>
          </cell>
          <cell r="E543" t="str">
            <v xml:space="preserve">      </v>
          </cell>
          <cell r="F543" t="str">
            <v>6.1.2.10.</v>
          </cell>
          <cell r="G543" t="str">
            <v xml:space="preserve">PVC ÁGUA FRIA Tê 90o soldável:  </v>
          </cell>
          <cell r="H543" t="str">
            <v xml:space="preserve">      </v>
          </cell>
          <cell r="I543">
            <v>0</v>
          </cell>
          <cell r="J543">
            <v>0</v>
          </cell>
          <cell r="K543">
            <v>0</v>
          </cell>
          <cell r="L543">
            <v>0</v>
          </cell>
        </row>
        <row r="544">
          <cell r="D544" t="str">
            <v xml:space="preserve">  C.110.            </v>
          </cell>
          <cell r="E544" t="str">
            <v>CP0685</v>
          </cell>
          <cell r="F544" t="str">
            <v>6.1.2.10.1</v>
          </cell>
          <cell r="G544" t="str">
            <v xml:space="preserve">PVC ÁGUA FRIA Tê 90o soldável: DN 50  </v>
          </cell>
          <cell r="H544" t="str">
            <v xml:space="preserve">pç    </v>
          </cell>
          <cell r="I544">
            <v>4</v>
          </cell>
          <cell r="J544">
            <v>4.6100000000000003</v>
          </cell>
          <cell r="K544">
            <v>3.86</v>
          </cell>
          <cell r="L544">
            <v>18.440000000000001</v>
          </cell>
        </row>
        <row r="545">
          <cell r="D545" t="str">
            <v xml:space="preserve">  C.111.            </v>
          </cell>
          <cell r="E545" t="str">
            <v>CP0686</v>
          </cell>
          <cell r="F545" t="str">
            <v>6.1.2.10.2</v>
          </cell>
          <cell r="G545" t="str">
            <v xml:space="preserve">PVC ÁGUA FRIA Tê 90o Soldável: DN 40  </v>
          </cell>
          <cell r="H545" t="str">
            <v xml:space="preserve">pç    </v>
          </cell>
          <cell r="I545">
            <v>1</v>
          </cell>
          <cell r="J545">
            <v>4.59</v>
          </cell>
          <cell r="K545">
            <v>3.83</v>
          </cell>
          <cell r="L545">
            <v>4.59</v>
          </cell>
        </row>
        <row r="546">
          <cell r="D546" t="str">
            <v xml:space="preserve">  C.112.            </v>
          </cell>
          <cell r="E546" t="str">
            <v>CP0689</v>
          </cell>
          <cell r="F546" t="str">
            <v>6.1.2.10.3</v>
          </cell>
          <cell r="G546" t="str">
            <v xml:space="preserve">PVC ÁGUA FRIA Tê 90o soldável: DN 25  </v>
          </cell>
          <cell r="H546" t="str">
            <v xml:space="preserve">pç    </v>
          </cell>
          <cell r="I546">
            <v>1</v>
          </cell>
          <cell r="J546">
            <v>0.65</v>
          </cell>
          <cell r="K546">
            <v>0.54</v>
          </cell>
          <cell r="L546">
            <v>0.65</v>
          </cell>
        </row>
        <row r="547">
          <cell r="D547" t="str">
            <v xml:space="preserve">  C.113.            </v>
          </cell>
          <cell r="E547" t="str">
            <v>CP0691</v>
          </cell>
          <cell r="F547" t="str">
            <v>6.1.2.10.4</v>
          </cell>
          <cell r="G547" t="str">
            <v xml:space="preserve">PVC ÁGUA FRIA Tê 90o soldável: DN 20  </v>
          </cell>
          <cell r="H547" t="str">
            <v xml:space="preserve">pç    </v>
          </cell>
          <cell r="I547">
            <v>6</v>
          </cell>
          <cell r="J547">
            <v>0.52</v>
          </cell>
          <cell r="K547">
            <v>0.44</v>
          </cell>
          <cell r="L547">
            <v>3.12</v>
          </cell>
        </row>
        <row r="548">
          <cell r="D548" t="str">
            <v xml:space="preserve">  C.114.            </v>
          </cell>
          <cell r="E548" t="str">
            <v xml:space="preserve">      </v>
          </cell>
          <cell r="F548" t="str">
            <v>6.1.2.11.</v>
          </cell>
          <cell r="G548" t="str">
            <v xml:space="preserve">PVC ÁGUA FRIA Tê 90o soldável com bucha de latão na bolsa central:  </v>
          </cell>
          <cell r="H548" t="str">
            <v xml:space="preserve">      </v>
          </cell>
          <cell r="I548">
            <v>0</v>
          </cell>
          <cell r="J548">
            <v>0</v>
          </cell>
          <cell r="K548">
            <v>0</v>
          </cell>
          <cell r="L548">
            <v>0</v>
          </cell>
        </row>
        <row r="549">
          <cell r="D549" t="str">
            <v xml:space="preserve">  C.115.            </v>
          </cell>
          <cell r="E549" t="str">
            <v>CP2176</v>
          </cell>
          <cell r="F549" t="str">
            <v>6.1.2.11.1</v>
          </cell>
          <cell r="G549" t="str">
            <v xml:space="preserve">PVC ÁGUA FRIA Tê 90o soldável com bucha de latão na bolsa central: DN 20 x 20 x 1/2  </v>
          </cell>
          <cell r="H549" t="str">
            <v xml:space="preserve">pç    </v>
          </cell>
          <cell r="I549">
            <v>2</v>
          </cell>
          <cell r="J549">
            <v>4.96</v>
          </cell>
          <cell r="K549">
            <v>6.3</v>
          </cell>
          <cell r="L549">
            <v>9.92</v>
          </cell>
        </row>
        <row r="550">
          <cell r="D550" t="str">
            <v xml:space="preserve">  C.116.            </v>
          </cell>
          <cell r="E550" t="str">
            <v xml:space="preserve">      </v>
          </cell>
          <cell r="F550" t="str">
            <v>6.1.2.12.</v>
          </cell>
          <cell r="G550" t="str">
            <v xml:space="preserve">PVC ÁGUA FRIA Tê de redução 90o soldável:  </v>
          </cell>
          <cell r="H550" t="str">
            <v xml:space="preserve">      </v>
          </cell>
          <cell r="I550">
            <v>0</v>
          </cell>
          <cell r="J550">
            <v>0</v>
          </cell>
          <cell r="K550">
            <v>0</v>
          </cell>
          <cell r="L550">
            <v>0</v>
          </cell>
        </row>
        <row r="551">
          <cell r="D551" t="str">
            <v xml:space="preserve">  C.117.            </v>
          </cell>
          <cell r="E551" t="str">
            <v>CP2139</v>
          </cell>
          <cell r="F551" t="str">
            <v>6.1.2.12.1</v>
          </cell>
          <cell r="G551" t="str">
            <v xml:space="preserve">PVC ÁGUA FRIA Tê de redução 90o soldável: DN 75 x 40  </v>
          </cell>
          <cell r="H551" t="str">
            <v xml:space="preserve">pç    </v>
          </cell>
          <cell r="I551">
            <v>5</v>
          </cell>
          <cell r="J551">
            <v>24.73</v>
          </cell>
          <cell r="K551">
            <v>29.79</v>
          </cell>
          <cell r="L551">
            <v>123.65</v>
          </cell>
        </row>
        <row r="552">
          <cell r="D552" t="str">
            <v xml:space="preserve">  C.118.            </v>
          </cell>
          <cell r="E552" t="str">
            <v>CP0811</v>
          </cell>
          <cell r="F552" t="str">
            <v>6.1.2.12.2</v>
          </cell>
          <cell r="G552" t="str">
            <v xml:space="preserve">PVC ÁGUA FRIA Tê de redução 90o soldável: DN 50 x 20  </v>
          </cell>
          <cell r="H552" t="str">
            <v xml:space="preserve">pç    </v>
          </cell>
          <cell r="I552">
            <v>2</v>
          </cell>
          <cell r="J552">
            <v>4.6900000000000004</v>
          </cell>
          <cell r="K552">
            <v>3.94</v>
          </cell>
          <cell r="L552">
            <v>9.3800000000000008</v>
          </cell>
        </row>
        <row r="553">
          <cell r="D553" t="str">
            <v xml:space="preserve">  C.119.            </v>
          </cell>
          <cell r="E553" t="str">
            <v xml:space="preserve">      </v>
          </cell>
          <cell r="F553" t="str">
            <v>6.1.2.13.</v>
          </cell>
          <cell r="G553" t="str">
            <v xml:space="preserve">PVC ÁGUA FRIA Tubo de descarga:  </v>
          </cell>
          <cell r="H553" t="str">
            <v xml:space="preserve">      </v>
          </cell>
          <cell r="I553">
            <v>0</v>
          </cell>
          <cell r="J553">
            <v>0</v>
          </cell>
          <cell r="K553">
            <v>0</v>
          </cell>
          <cell r="L553">
            <v>0</v>
          </cell>
        </row>
        <row r="554">
          <cell r="D554" t="str">
            <v xml:space="preserve">  C.120.            </v>
          </cell>
          <cell r="E554" t="str">
            <v>CP2181</v>
          </cell>
          <cell r="F554" t="str">
            <v>6.1.2.13.1</v>
          </cell>
          <cell r="G554" t="str">
            <v xml:space="preserve">PVC ÁGUA FRIA Tubo de descarga: DN 38  </v>
          </cell>
          <cell r="H554" t="str">
            <v xml:space="preserve">pç    </v>
          </cell>
          <cell r="I554">
            <v>2</v>
          </cell>
          <cell r="J554">
            <v>3.89</v>
          </cell>
          <cell r="K554">
            <v>3.93</v>
          </cell>
          <cell r="L554">
            <v>7.78</v>
          </cell>
        </row>
        <row r="555">
          <cell r="D555" t="str">
            <v xml:space="preserve">  C.121.            </v>
          </cell>
          <cell r="E555" t="str">
            <v xml:space="preserve">      </v>
          </cell>
          <cell r="F555" t="str">
            <v>6.1.3.</v>
          </cell>
          <cell r="G555" t="str">
            <v xml:space="preserve">PVC RÍGIDO VINILFER DE FoFo JUNTA ELÁSTICA  </v>
          </cell>
          <cell r="H555" t="str">
            <v xml:space="preserve">      </v>
          </cell>
          <cell r="I555">
            <v>0</v>
          </cell>
          <cell r="J555">
            <v>0</v>
          </cell>
          <cell r="K555">
            <v>0</v>
          </cell>
          <cell r="L555">
            <v>0</v>
          </cell>
        </row>
        <row r="556">
          <cell r="D556" t="str">
            <v xml:space="preserve">  C.122.            </v>
          </cell>
          <cell r="E556" t="str">
            <v xml:space="preserve">      </v>
          </cell>
          <cell r="F556" t="str">
            <v>6.1.3.1.</v>
          </cell>
          <cell r="G556" t="str">
            <v xml:space="preserve">PVC RÍGIDO VINILFER DE FoFo JUNTA ELÁSTICA Tubo PVC DE FoFo:  </v>
          </cell>
          <cell r="H556" t="str">
            <v xml:space="preserve">      </v>
          </cell>
          <cell r="I556">
            <v>0</v>
          </cell>
          <cell r="J556">
            <v>0</v>
          </cell>
          <cell r="K556">
            <v>0</v>
          </cell>
          <cell r="L556">
            <v>0</v>
          </cell>
        </row>
        <row r="557">
          <cell r="D557" t="str">
            <v xml:space="preserve">  C.123.            </v>
          </cell>
          <cell r="E557" t="str">
            <v>CP0951</v>
          </cell>
          <cell r="F557" t="str">
            <v>6.1.3.1.1</v>
          </cell>
          <cell r="G557" t="str">
            <v xml:space="preserve">PVC RÍGIDO VINILFER DE FoFo JUNTA ELÁSTICA Tubo PVC DE FoFo: DN 150  </v>
          </cell>
          <cell r="H557" t="str">
            <v xml:space="preserve">m     </v>
          </cell>
          <cell r="I557">
            <v>12</v>
          </cell>
          <cell r="J557">
            <v>29.39</v>
          </cell>
          <cell r="K557">
            <v>41.99</v>
          </cell>
          <cell r="L557">
            <v>352.68</v>
          </cell>
        </row>
        <row r="558">
          <cell r="D558" t="str">
            <v xml:space="preserve">  C.124.            </v>
          </cell>
          <cell r="E558" t="str">
            <v xml:space="preserve">      </v>
          </cell>
          <cell r="F558" t="str">
            <v>6.1.3.2.</v>
          </cell>
          <cell r="G558" t="str">
            <v xml:space="preserve">PVC RÍGIDO VINILFER DE FoFo JUNTA ELÁSTICA Tê 90 PVC JE DE FoFo  </v>
          </cell>
          <cell r="H558" t="str">
            <v xml:space="preserve">      </v>
          </cell>
          <cell r="I558">
            <v>0</v>
          </cell>
          <cell r="J558">
            <v>0</v>
          </cell>
          <cell r="K558">
            <v>0</v>
          </cell>
          <cell r="L558">
            <v>0</v>
          </cell>
        </row>
        <row r="559">
          <cell r="D559" t="str">
            <v xml:space="preserve">  C.125.            </v>
          </cell>
          <cell r="E559" t="str">
            <v>CP0950</v>
          </cell>
          <cell r="F559" t="str">
            <v>6.1.3.2.1</v>
          </cell>
          <cell r="G559" t="str">
            <v xml:space="preserve">PVC RÍGIDO VINILFER DE FoFo JUNTA ELÁSTICA Tê 90 PVC JE DE FoFo DN 150  </v>
          </cell>
          <cell r="H559" t="str">
            <v xml:space="preserve">pç    </v>
          </cell>
          <cell r="I559">
            <v>1</v>
          </cell>
          <cell r="J559">
            <v>244.91</v>
          </cell>
          <cell r="K559">
            <v>349.87</v>
          </cell>
          <cell r="L559">
            <v>244.91</v>
          </cell>
        </row>
        <row r="560">
          <cell r="D560" t="str">
            <v xml:space="preserve">  C.126.            </v>
          </cell>
          <cell r="E560" t="str">
            <v xml:space="preserve">      </v>
          </cell>
          <cell r="F560" t="str">
            <v>6.1.4.</v>
          </cell>
          <cell r="G560" t="str">
            <v xml:space="preserve">FERRO MALEÁVEL  </v>
          </cell>
          <cell r="H560" t="str">
            <v xml:space="preserve">      </v>
          </cell>
          <cell r="I560">
            <v>0</v>
          </cell>
          <cell r="J560">
            <v>0</v>
          </cell>
          <cell r="K560">
            <v>0</v>
          </cell>
          <cell r="L560">
            <v>0</v>
          </cell>
        </row>
        <row r="561">
          <cell r="D561" t="str">
            <v xml:space="preserve">  C.127.            </v>
          </cell>
          <cell r="E561" t="str">
            <v xml:space="preserve">      </v>
          </cell>
          <cell r="F561" t="str">
            <v>6.1.4.1.</v>
          </cell>
          <cell r="G561" t="str">
            <v xml:space="preserve">FERRO MALEÁVEL Joelho 90°  </v>
          </cell>
          <cell r="H561" t="str">
            <v xml:space="preserve">      </v>
          </cell>
          <cell r="I561">
            <v>0</v>
          </cell>
          <cell r="J561">
            <v>0</v>
          </cell>
          <cell r="K561">
            <v>0</v>
          </cell>
          <cell r="L561">
            <v>0</v>
          </cell>
        </row>
        <row r="562">
          <cell r="D562" t="str">
            <v xml:space="preserve">  C.128.            </v>
          </cell>
          <cell r="E562" t="str">
            <v>CP0793</v>
          </cell>
          <cell r="F562" t="str">
            <v>6.1.4.1.1</v>
          </cell>
          <cell r="G562" t="str">
            <v xml:space="preserve">FERRO MALEÁVEL Joelho 90° DN 1 1/2  </v>
          </cell>
          <cell r="H562" t="str">
            <v xml:space="preserve">pç    </v>
          </cell>
          <cell r="I562">
            <v>2</v>
          </cell>
          <cell r="J562">
            <v>5.25</v>
          </cell>
          <cell r="K562">
            <v>4.38</v>
          </cell>
          <cell r="L562">
            <v>10.5</v>
          </cell>
        </row>
        <row r="563">
          <cell r="D563" t="str">
            <v xml:space="preserve">  C.129.            </v>
          </cell>
          <cell r="E563" t="str">
            <v>CP0944</v>
          </cell>
          <cell r="F563" t="str">
            <v>6.1.4.1.2</v>
          </cell>
          <cell r="G563" t="str">
            <v xml:space="preserve">FERRO MALEÁVEL Joelho 90° DN 3/4  </v>
          </cell>
          <cell r="H563" t="str">
            <v xml:space="preserve">pç    </v>
          </cell>
          <cell r="I563">
            <v>2</v>
          </cell>
          <cell r="J563">
            <v>1.81</v>
          </cell>
          <cell r="K563">
            <v>1.52</v>
          </cell>
          <cell r="L563">
            <v>3.62</v>
          </cell>
        </row>
        <row r="564">
          <cell r="D564" t="str">
            <v xml:space="preserve">  C.130.            </v>
          </cell>
          <cell r="E564" t="str">
            <v xml:space="preserve">      </v>
          </cell>
          <cell r="F564" t="str">
            <v>6.1.4.2.</v>
          </cell>
          <cell r="G564" t="str">
            <v xml:space="preserve">FERRO MALEÁVEL Luva de redução  </v>
          </cell>
          <cell r="H564" t="str">
            <v xml:space="preserve">      </v>
          </cell>
          <cell r="I564">
            <v>0</v>
          </cell>
          <cell r="J564">
            <v>0</v>
          </cell>
          <cell r="K564">
            <v>0</v>
          </cell>
          <cell r="L564">
            <v>0</v>
          </cell>
        </row>
        <row r="565">
          <cell r="D565" t="str">
            <v xml:space="preserve">  C.131.            </v>
          </cell>
          <cell r="E565" t="str">
            <v>CP0939</v>
          </cell>
          <cell r="F565" t="str">
            <v>6.1.4.2.1</v>
          </cell>
          <cell r="G565" t="str">
            <v xml:space="preserve">FERRO MALEÁVEL Luva de redução DN 1 1/2 x 1 1/4  </v>
          </cell>
          <cell r="H565" t="str">
            <v xml:space="preserve">pç    </v>
          </cell>
          <cell r="I565">
            <v>7</v>
          </cell>
          <cell r="J565">
            <v>3.88</v>
          </cell>
          <cell r="K565">
            <v>3.24</v>
          </cell>
          <cell r="L565">
            <v>27.16</v>
          </cell>
        </row>
        <row r="566">
          <cell r="D566" t="str">
            <v xml:space="preserve">  C.132.            </v>
          </cell>
          <cell r="E566" t="str">
            <v xml:space="preserve">      </v>
          </cell>
          <cell r="F566" t="str">
            <v>6.1.4.3.</v>
          </cell>
          <cell r="G566" t="str">
            <v xml:space="preserve">FERRO MALEÁVEL Niples duplos:  </v>
          </cell>
          <cell r="H566" t="str">
            <v xml:space="preserve">      </v>
          </cell>
          <cell r="I566">
            <v>0</v>
          </cell>
          <cell r="J566">
            <v>0</v>
          </cell>
          <cell r="K566">
            <v>0</v>
          </cell>
          <cell r="L566">
            <v>0</v>
          </cell>
        </row>
        <row r="567">
          <cell r="D567" t="str">
            <v xml:space="preserve">  C.133.            </v>
          </cell>
          <cell r="E567" t="str">
            <v>CP2161</v>
          </cell>
          <cell r="F567" t="str">
            <v>6.1.4.3.1</v>
          </cell>
          <cell r="G567" t="str">
            <v xml:space="preserve">FERRO MALEÁVEL Niples duplos: DN 1 1/2  </v>
          </cell>
          <cell r="H567" t="str">
            <v xml:space="preserve">pç    </v>
          </cell>
          <cell r="I567">
            <v>7</v>
          </cell>
          <cell r="J567">
            <v>2.85</v>
          </cell>
          <cell r="K567">
            <v>2.38</v>
          </cell>
          <cell r="L567">
            <v>19.95</v>
          </cell>
        </row>
        <row r="568">
          <cell r="D568" t="str">
            <v xml:space="preserve">  C.134.            </v>
          </cell>
          <cell r="E568" t="str">
            <v>CP0775</v>
          </cell>
          <cell r="F568" t="str">
            <v>6.1.4.3.2</v>
          </cell>
          <cell r="G568" t="str">
            <v xml:space="preserve">FERRO MALEÁVEL Niples duplos: DN 3/4  </v>
          </cell>
          <cell r="H568" t="str">
            <v xml:space="preserve">pç    </v>
          </cell>
          <cell r="I568">
            <v>4</v>
          </cell>
          <cell r="J568">
            <v>1.62</v>
          </cell>
          <cell r="K568">
            <v>1.95</v>
          </cell>
          <cell r="L568">
            <v>6.48</v>
          </cell>
        </row>
        <row r="569">
          <cell r="D569" t="str">
            <v xml:space="preserve">  C.135.            </v>
          </cell>
          <cell r="E569" t="str">
            <v xml:space="preserve">      </v>
          </cell>
          <cell r="F569" t="str">
            <v>6.1.4.4.</v>
          </cell>
          <cell r="G569" t="str">
            <v xml:space="preserve">FERRO MALEÁVEL União:  </v>
          </cell>
          <cell r="H569" t="str">
            <v xml:space="preserve">      </v>
          </cell>
          <cell r="I569">
            <v>0</v>
          </cell>
          <cell r="J569">
            <v>0</v>
          </cell>
          <cell r="K569">
            <v>0</v>
          </cell>
          <cell r="L569">
            <v>0</v>
          </cell>
        </row>
        <row r="570">
          <cell r="D570" t="str">
            <v xml:space="preserve">  C.136.            </v>
          </cell>
          <cell r="E570" t="str">
            <v>CP0800</v>
          </cell>
          <cell r="F570" t="str">
            <v>6.1.4.4.1</v>
          </cell>
          <cell r="G570" t="str">
            <v xml:space="preserve">FERRO MALEÁVEL União: DN 1 1/2  </v>
          </cell>
          <cell r="H570" t="str">
            <v xml:space="preserve">pç    </v>
          </cell>
          <cell r="I570">
            <v>7</v>
          </cell>
          <cell r="J570">
            <v>11.54</v>
          </cell>
          <cell r="K570">
            <v>9.6300000000000008</v>
          </cell>
          <cell r="L570">
            <v>80.78</v>
          </cell>
        </row>
        <row r="571">
          <cell r="D571" t="str">
            <v xml:space="preserve">  C.137.            </v>
          </cell>
          <cell r="E571" t="str">
            <v>CP0919</v>
          </cell>
          <cell r="F571" t="str">
            <v>6.1.4.4.2</v>
          </cell>
          <cell r="G571" t="str">
            <v xml:space="preserve">FERRO MALEÁVEL União: DN 3/4  </v>
          </cell>
          <cell r="H571" t="str">
            <v xml:space="preserve">pç    </v>
          </cell>
          <cell r="I571">
            <v>2</v>
          </cell>
          <cell r="J571">
            <v>5.65</v>
          </cell>
          <cell r="K571">
            <v>4.72</v>
          </cell>
          <cell r="L571">
            <v>11.3</v>
          </cell>
        </row>
        <row r="572">
          <cell r="D572" t="str">
            <v xml:space="preserve">  C.138.            </v>
          </cell>
          <cell r="E572" t="str">
            <v xml:space="preserve">      </v>
          </cell>
          <cell r="F572" t="str">
            <v>6.1.5.</v>
          </cell>
          <cell r="G572" t="str">
            <v xml:space="preserve">FERRO FUNDIDO, JUNTA ELÁSTICA  </v>
          </cell>
          <cell r="H572" t="str">
            <v xml:space="preserve">      </v>
          </cell>
          <cell r="I572">
            <v>0</v>
          </cell>
          <cell r="J572">
            <v>0</v>
          </cell>
          <cell r="K572">
            <v>0</v>
          </cell>
          <cell r="L572">
            <v>0</v>
          </cell>
        </row>
        <row r="573">
          <cell r="D573" t="str">
            <v xml:space="preserve">  C.139.            </v>
          </cell>
          <cell r="E573" t="str">
            <v xml:space="preserve">      </v>
          </cell>
          <cell r="F573" t="str">
            <v>6.1.5.1.</v>
          </cell>
          <cell r="G573" t="str">
            <v xml:space="preserve">FERRO FUNDIDO, JUNTA ELÁSTICA Tê  </v>
          </cell>
          <cell r="H573" t="str">
            <v xml:space="preserve">      </v>
          </cell>
          <cell r="I573">
            <v>0</v>
          </cell>
          <cell r="J573">
            <v>0</v>
          </cell>
          <cell r="K573">
            <v>0</v>
          </cell>
          <cell r="L573">
            <v>0</v>
          </cell>
        </row>
        <row r="574">
          <cell r="D574" t="str">
            <v xml:space="preserve">  C.140.            </v>
          </cell>
          <cell r="E574" t="str">
            <v>CP1011</v>
          </cell>
          <cell r="F574" t="str">
            <v>6.1.5.1.1</v>
          </cell>
          <cell r="G574" t="str">
            <v xml:space="preserve">FERRO FUNDIDO, JUNTA ELÁSTICA Tê DN 150 x 75  </v>
          </cell>
          <cell r="H574" t="str">
            <v xml:space="preserve">pç    </v>
          </cell>
          <cell r="I574">
            <v>1</v>
          </cell>
          <cell r="J574">
            <v>198.91</v>
          </cell>
          <cell r="K574">
            <v>284.14999999999998</v>
          </cell>
          <cell r="L574">
            <v>198.91</v>
          </cell>
        </row>
        <row r="575">
          <cell r="D575" t="str">
            <v xml:space="preserve">  C.141.            </v>
          </cell>
          <cell r="E575" t="str">
            <v>CP1012</v>
          </cell>
          <cell r="F575" t="str">
            <v>6.1.5.1.2</v>
          </cell>
          <cell r="G575" t="str">
            <v xml:space="preserve">FERRO FUNDIDO, JUNTA ELÁSTICA Tê DN 150 x 50  </v>
          </cell>
          <cell r="H575" t="str">
            <v xml:space="preserve">pç    </v>
          </cell>
          <cell r="I575">
            <v>1</v>
          </cell>
          <cell r="J575">
            <v>149.52000000000001</v>
          </cell>
          <cell r="K575">
            <v>124.63</v>
          </cell>
          <cell r="L575">
            <v>149.52000000000001</v>
          </cell>
        </row>
        <row r="576">
          <cell r="D576" t="str">
            <v xml:space="preserve">  C.142.            </v>
          </cell>
          <cell r="E576" t="str">
            <v xml:space="preserve">      </v>
          </cell>
          <cell r="F576" t="str">
            <v>6.1.5.2.</v>
          </cell>
          <cell r="G576" t="str">
            <v xml:space="preserve">FERRO FUNDIDO, JUNTA ELÁSTICA Redução ponta e bolsa:  </v>
          </cell>
          <cell r="H576" t="str">
            <v xml:space="preserve">      </v>
          </cell>
          <cell r="I576">
            <v>0</v>
          </cell>
          <cell r="J576">
            <v>0</v>
          </cell>
          <cell r="K576">
            <v>0</v>
          </cell>
          <cell r="L576">
            <v>0</v>
          </cell>
        </row>
        <row r="577">
          <cell r="D577" t="str">
            <v xml:space="preserve">  C.143.            </v>
          </cell>
          <cell r="E577" t="str">
            <v>CP1014</v>
          </cell>
          <cell r="F577" t="str">
            <v>6.1.5.2.1</v>
          </cell>
          <cell r="G577" t="str">
            <v xml:space="preserve">FERRO FUNDIDO, JUNTA ELÁSTICA Redução ponta e bolsa: DN 150 x 85  </v>
          </cell>
          <cell r="H577" t="str">
            <v xml:space="preserve">pç    </v>
          </cell>
          <cell r="I577">
            <v>1</v>
          </cell>
          <cell r="J577">
            <v>65.239999999999995</v>
          </cell>
          <cell r="K577">
            <v>54.64</v>
          </cell>
          <cell r="L577">
            <v>65.239999999999995</v>
          </cell>
        </row>
        <row r="578">
          <cell r="D578" t="str">
            <v xml:space="preserve">  C.144.            </v>
          </cell>
          <cell r="E578" t="str">
            <v xml:space="preserve">      </v>
          </cell>
          <cell r="F578" t="str">
            <v>6.1.6.</v>
          </cell>
          <cell r="G578" t="str">
            <v xml:space="preserve">DIVERSOS  </v>
          </cell>
          <cell r="H578" t="str">
            <v xml:space="preserve">      </v>
          </cell>
          <cell r="I578">
            <v>0</v>
          </cell>
          <cell r="J578">
            <v>0</v>
          </cell>
          <cell r="K578">
            <v>0</v>
          </cell>
          <cell r="L578">
            <v>0</v>
          </cell>
        </row>
        <row r="579">
          <cell r="D579" t="str">
            <v xml:space="preserve">  C.145.            </v>
          </cell>
          <cell r="E579" t="str">
            <v>CP1718</v>
          </cell>
          <cell r="F579" t="str">
            <v>6.1.6.1.</v>
          </cell>
          <cell r="G579" t="str">
            <v xml:space="preserve">Vaso sanitário em louça  </v>
          </cell>
          <cell r="H579" t="str">
            <v xml:space="preserve">pç    </v>
          </cell>
          <cell r="I579">
            <v>2</v>
          </cell>
          <cell r="J579">
            <v>64.63</v>
          </cell>
          <cell r="K579">
            <v>53.89</v>
          </cell>
          <cell r="L579">
            <v>129.26</v>
          </cell>
        </row>
        <row r="580">
          <cell r="D580" t="str">
            <v xml:space="preserve">  C.146.            </v>
          </cell>
          <cell r="E580" t="str">
            <v>CP0704</v>
          </cell>
          <cell r="F580" t="str">
            <v>6.1.6.2.</v>
          </cell>
          <cell r="G580" t="str">
            <v xml:space="preserve">Lavatório sem coluna  </v>
          </cell>
          <cell r="H580" t="str">
            <v xml:space="preserve">pç    </v>
          </cell>
          <cell r="I580">
            <v>2</v>
          </cell>
          <cell r="J580">
            <v>34.229999999999997</v>
          </cell>
          <cell r="K580">
            <v>28.7</v>
          </cell>
          <cell r="L580">
            <v>68.459999999999994</v>
          </cell>
        </row>
        <row r="581">
          <cell r="D581" t="str">
            <v xml:space="preserve">  C.147.            </v>
          </cell>
          <cell r="E581" t="str">
            <v>CP2047</v>
          </cell>
          <cell r="F581" t="str">
            <v>6.1.6.3.</v>
          </cell>
          <cell r="G581" t="str">
            <v xml:space="preserve">Ligação flexível cromada DN 1/2  </v>
          </cell>
          <cell r="H581" t="str">
            <v xml:space="preserve">pç    </v>
          </cell>
          <cell r="I581">
            <v>2</v>
          </cell>
          <cell r="J581">
            <v>10.51</v>
          </cell>
          <cell r="K581">
            <v>8.77</v>
          </cell>
          <cell r="L581">
            <v>21.02</v>
          </cell>
        </row>
        <row r="582">
          <cell r="D582" t="str">
            <v xml:space="preserve">  C.148.            </v>
          </cell>
          <cell r="E582" t="str">
            <v xml:space="preserve">      </v>
          </cell>
          <cell r="F582" t="str">
            <v>6.1.6.4.</v>
          </cell>
          <cell r="G582" t="str">
            <v xml:space="preserve">Sifão:  </v>
          </cell>
          <cell r="H582" t="str">
            <v xml:space="preserve">      </v>
          </cell>
          <cell r="I582">
            <v>0</v>
          </cell>
          <cell r="J582">
            <v>0</v>
          </cell>
          <cell r="K582">
            <v>0</v>
          </cell>
          <cell r="L582">
            <v>0</v>
          </cell>
        </row>
        <row r="583">
          <cell r="D583" t="str">
            <v xml:space="preserve">  C.149.            </v>
          </cell>
          <cell r="E583" t="str">
            <v>CP0700</v>
          </cell>
          <cell r="F583" t="str">
            <v>6.1.6.4.1</v>
          </cell>
          <cell r="G583" t="str">
            <v xml:space="preserve">Sifão: para lavatório DN 1 x 1 1/2  </v>
          </cell>
          <cell r="H583" t="str">
            <v xml:space="preserve">pç    </v>
          </cell>
          <cell r="I583">
            <v>2</v>
          </cell>
          <cell r="J583">
            <v>42.26</v>
          </cell>
          <cell r="K583">
            <v>35.46</v>
          </cell>
          <cell r="L583">
            <v>84.52</v>
          </cell>
        </row>
        <row r="584">
          <cell r="D584" t="str">
            <v xml:space="preserve">  C.150.            </v>
          </cell>
          <cell r="E584" t="str">
            <v>CP1815</v>
          </cell>
          <cell r="F584" t="str">
            <v>6.1.6.4.2</v>
          </cell>
          <cell r="G584" t="str">
            <v xml:space="preserve">Sifão: para pia DN 1 1/2 x 1 1/2  </v>
          </cell>
          <cell r="H584" t="str">
            <v xml:space="preserve">pç    </v>
          </cell>
          <cell r="I584">
            <v>1</v>
          </cell>
          <cell r="J584">
            <v>60.79</v>
          </cell>
          <cell r="K584">
            <v>50.83</v>
          </cell>
          <cell r="L584">
            <v>60.79</v>
          </cell>
        </row>
        <row r="585">
          <cell r="D585" t="str">
            <v xml:space="preserve">  C.151.            </v>
          </cell>
          <cell r="E585" t="str">
            <v xml:space="preserve">      </v>
          </cell>
          <cell r="F585" t="str">
            <v>6.1.6.5.</v>
          </cell>
          <cell r="G585" t="str">
            <v xml:space="preserve">Conjunto de metais:  </v>
          </cell>
          <cell r="H585" t="str">
            <v xml:space="preserve">      </v>
          </cell>
          <cell r="I585">
            <v>0</v>
          </cell>
          <cell r="J585">
            <v>0</v>
          </cell>
          <cell r="K585">
            <v>0</v>
          </cell>
          <cell r="L585">
            <v>0</v>
          </cell>
        </row>
        <row r="586">
          <cell r="D586" t="str">
            <v xml:space="preserve">  C.152.            </v>
          </cell>
          <cell r="E586" t="str">
            <v>CP1769</v>
          </cell>
          <cell r="F586" t="str">
            <v>6.1.6.5.1</v>
          </cell>
          <cell r="G586" t="str">
            <v xml:space="preserve">Conjunto de metais: para lavatório com uma água  </v>
          </cell>
          <cell r="H586" t="str">
            <v xml:space="preserve">pç    </v>
          </cell>
          <cell r="I586">
            <v>2</v>
          </cell>
          <cell r="J586">
            <v>133.80000000000001</v>
          </cell>
          <cell r="K586">
            <v>0</v>
          </cell>
          <cell r="L586">
            <v>267.60000000000002</v>
          </cell>
        </row>
        <row r="587">
          <cell r="D587" t="str">
            <v xml:space="preserve">  C.153.            </v>
          </cell>
          <cell r="E587" t="str">
            <v>CP1785</v>
          </cell>
          <cell r="F587" t="str">
            <v>6.1.6.5.2</v>
          </cell>
          <cell r="G587" t="str">
            <v xml:space="preserve">Conjunto de metais: para tanque  </v>
          </cell>
          <cell r="H587" t="str">
            <v xml:space="preserve">pç    </v>
          </cell>
          <cell r="I587">
            <v>1</v>
          </cell>
          <cell r="J587">
            <v>115.58</v>
          </cell>
          <cell r="K587">
            <v>111.82</v>
          </cell>
          <cell r="L587">
            <v>115.58</v>
          </cell>
        </row>
        <row r="588">
          <cell r="D588" t="str">
            <v xml:space="preserve">  C.154.            </v>
          </cell>
          <cell r="E588" t="str">
            <v xml:space="preserve">      </v>
          </cell>
          <cell r="F588" t="str">
            <v>6.1.6.6.</v>
          </cell>
          <cell r="G588" t="str">
            <v xml:space="preserve">Torneira:  </v>
          </cell>
          <cell r="H588" t="str">
            <v xml:space="preserve">      </v>
          </cell>
          <cell r="I588">
            <v>0</v>
          </cell>
          <cell r="J588">
            <v>0</v>
          </cell>
          <cell r="K588">
            <v>0</v>
          </cell>
          <cell r="L588">
            <v>0</v>
          </cell>
        </row>
        <row r="589">
          <cell r="D589" t="str">
            <v xml:space="preserve">  C.155.            </v>
          </cell>
          <cell r="E589" t="str">
            <v>CP0714</v>
          </cell>
          <cell r="F589" t="str">
            <v>6.1.6.6.1</v>
          </cell>
          <cell r="G589" t="str">
            <v xml:space="preserve">Torneira: de pressão D= 3/4 uso geral  </v>
          </cell>
          <cell r="H589" t="str">
            <v xml:space="preserve">un    </v>
          </cell>
          <cell r="I589">
            <v>1</v>
          </cell>
          <cell r="J589">
            <v>33.33</v>
          </cell>
          <cell r="K589">
            <v>27.85</v>
          </cell>
          <cell r="L589">
            <v>33.33</v>
          </cell>
        </row>
        <row r="590">
          <cell r="D590" t="str">
            <v xml:space="preserve">  C.156.            </v>
          </cell>
          <cell r="E590" t="str">
            <v>CP1728</v>
          </cell>
          <cell r="F590" t="str">
            <v>6.1.6.7.</v>
          </cell>
          <cell r="G590" t="str">
            <v xml:space="preserve">Ducha higiênica com registro  </v>
          </cell>
          <cell r="H590" t="str">
            <v xml:space="preserve">un    </v>
          </cell>
          <cell r="I590">
            <v>1</v>
          </cell>
          <cell r="J590">
            <v>242</v>
          </cell>
          <cell r="K590">
            <v>202.66</v>
          </cell>
          <cell r="L590">
            <v>242</v>
          </cell>
        </row>
        <row r="591">
          <cell r="D591" t="str">
            <v xml:space="preserve">  C.157.            </v>
          </cell>
          <cell r="E591" t="str">
            <v>CP1680</v>
          </cell>
          <cell r="F591" t="str">
            <v>6.1.6.8.</v>
          </cell>
          <cell r="G591" t="str">
            <v xml:space="preserve">Lava-olhos com chuveiro  </v>
          </cell>
          <cell r="H591" t="str">
            <v xml:space="preserve">un    </v>
          </cell>
          <cell r="I591">
            <v>1</v>
          </cell>
          <cell r="J591">
            <v>3535.63</v>
          </cell>
          <cell r="K591">
            <v>5050.8999999999996</v>
          </cell>
          <cell r="L591">
            <v>3535.63</v>
          </cell>
        </row>
        <row r="592">
          <cell r="D592" t="str">
            <v xml:space="preserve">  C.158.            </v>
          </cell>
          <cell r="E592" t="str">
            <v xml:space="preserve">      </v>
          </cell>
          <cell r="F592" t="str">
            <v>6.1.6.9.</v>
          </cell>
          <cell r="G592" t="str">
            <v xml:space="preserve">Caixa d'água, em fibra de vidro  </v>
          </cell>
          <cell r="H592" t="str">
            <v xml:space="preserve">      </v>
          </cell>
          <cell r="I592">
            <v>0</v>
          </cell>
          <cell r="J592">
            <v>0</v>
          </cell>
          <cell r="K592">
            <v>0</v>
          </cell>
          <cell r="L592">
            <v>0</v>
          </cell>
        </row>
        <row r="593">
          <cell r="D593" t="str">
            <v xml:space="preserve">  C.159.            </v>
          </cell>
          <cell r="E593" t="str">
            <v>CP1635</v>
          </cell>
          <cell r="F593" t="str">
            <v>6.1.6.9.1</v>
          </cell>
          <cell r="G593" t="str">
            <v xml:space="preserve">Caixa d'água, em fibra de vidro Capacidade 1000 l  </v>
          </cell>
          <cell r="H593" t="str">
            <v xml:space="preserve">un    </v>
          </cell>
          <cell r="I593">
            <v>1</v>
          </cell>
          <cell r="J593">
            <v>422.99</v>
          </cell>
          <cell r="K593">
            <v>354.24</v>
          </cell>
          <cell r="L593">
            <v>422.99</v>
          </cell>
        </row>
        <row r="594">
          <cell r="D594" t="str">
            <v xml:space="preserve">  C.160.            </v>
          </cell>
          <cell r="E594" t="str">
            <v xml:space="preserve">      </v>
          </cell>
          <cell r="F594" t="str">
            <v>6.1.6.10.</v>
          </cell>
          <cell r="G594" t="str">
            <v xml:space="preserve">Registro de gaveta, em bronze, acabamento bruto:  </v>
          </cell>
          <cell r="H594" t="str">
            <v xml:space="preserve">      </v>
          </cell>
          <cell r="I594">
            <v>0</v>
          </cell>
          <cell r="J594">
            <v>0</v>
          </cell>
          <cell r="K594">
            <v>0</v>
          </cell>
          <cell r="L594">
            <v>0</v>
          </cell>
        </row>
        <row r="595">
          <cell r="D595" t="str">
            <v xml:space="preserve">  C.161.            </v>
          </cell>
          <cell r="E595" t="str">
            <v>CP0927</v>
          </cell>
          <cell r="F595" t="str">
            <v>6.1.6.10.1</v>
          </cell>
          <cell r="G595" t="str">
            <v xml:space="preserve">Registro de gaveta, em bronze, acabamento bruto: DN 1 1/2  </v>
          </cell>
          <cell r="H595" t="str">
            <v xml:space="preserve">un    </v>
          </cell>
          <cell r="I595">
            <v>3</v>
          </cell>
          <cell r="J595">
            <v>47.8</v>
          </cell>
          <cell r="K595">
            <v>40</v>
          </cell>
          <cell r="L595">
            <v>143.4</v>
          </cell>
        </row>
        <row r="596">
          <cell r="D596" t="str">
            <v xml:space="preserve">  C.162.            </v>
          </cell>
          <cell r="E596" t="str">
            <v>CP0932</v>
          </cell>
          <cell r="F596" t="str">
            <v>6.1.6.10.2</v>
          </cell>
          <cell r="G596" t="str">
            <v xml:space="preserve">Registro de gaveta, em bronze, acabamento bruto: DN 3/4  </v>
          </cell>
          <cell r="H596" t="str">
            <v xml:space="preserve">un    </v>
          </cell>
          <cell r="I596">
            <v>1</v>
          </cell>
          <cell r="J596">
            <v>8.4</v>
          </cell>
          <cell r="K596">
            <v>7.04</v>
          </cell>
          <cell r="L596">
            <v>8.4</v>
          </cell>
        </row>
        <row r="597">
          <cell r="D597" t="str">
            <v xml:space="preserve">  C.163.            </v>
          </cell>
          <cell r="E597" t="str">
            <v xml:space="preserve">      </v>
          </cell>
          <cell r="F597" t="str">
            <v>6.1.6.11.</v>
          </cell>
          <cell r="G597" t="str">
            <v xml:space="preserve">Registro de gaveta, em bronze, acabamento cromado:  </v>
          </cell>
          <cell r="H597" t="str">
            <v xml:space="preserve">      </v>
          </cell>
          <cell r="I597">
            <v>0</v>
          </cell>
          <cell r="J597">
            <v>0</v>
          </cell>
          <cell r="K597">
            <v>0</v>
          </cell>
          <cell r="L597">
            <v>0</v>
          </cell>
        </row>
        <row r="598">
          <cell r="D598" t="str">
            <v xml:space="preserve">  C.164.            </v>
          </cell>
          <cell r="E598" t="str">
            <v>CP1833</v>
          </cell>
          <cell r="F598" t="str">
            <v>6.1.6.11.1</v>
          </cell>
          <cell r="G598" t="str">
            <v xml:space="preserve">Registro de gaveta, em bronze, acabamento cromado: DN 3/4  </v>
          </cell>
          <cell r="H598" t="str">
            <v xml:space="preserve">un    </v>
          </cell>
          <cell r="I598">
            <v>1</v>
          </cell>
          <cell r="J598">
            <v>55.86</v>
          </cell>
          <cell r="K598">
            <v>46.85</v>
          </cell>
          <cell r="L598">
            <v>55.86</v>
          </cell>
        </row>
        <row r="599">
          <cell r="D599" t="str">
            <v xml:space="preserve">  C.165.            </v>
          </cell>
          <cell r="E599" t="str">
            <v>CP1849</v>
          </cell>
          <cell r="F599" t="str">
            <v>6.1.6.11.2</v>
          </cell>
          <cell r="G599" t="str">
            <v xml:space="preserve">Registro de gaveta, em bronze, acabamento cromado: DN 1/2  </v>
          </cell>
          <cell r="H599" t="str">
            <v xml:space="preserve">un    </v>
          </cell>
          <cell r="I599">
            <v>2</v>
          </cell>
          <cell r="J599">
            <v>63.12</v>
          </cell>
          <cell r="K599">
            <v>52.92</v>
          </cell>
          <cell r="L599">
            <v>126.24</v>
          </cell>
        </row>
        <row r="600">
          <cell r="D600" t="str">
            <v xml:space="preserve">  C.166.            </v>
          </cell>
          <cell r="E600" t="str">
            <v xml:space="preserve">      </v>
          </cell>
          <cell r="F600" t="str">
            <v>6.1.6.12.</v>
          </cell>
          <cell r="G600" t="str">
            <v xml:space="preserve">Registro de gaveta, em ferro fundido, tipo chato, PN 10:  </v>
          </cell>
          <cell r="H600" t="str">
            <v xml:space="preserve">      </v>
          </cell>
          <cell r="I600">
            <v>0</v>
          </cell>
          <cell r="J600">
            <v>0</v>
          </cell>
          <cell r="K600">
            <v>0</v>
          </cell>
          <cell r="L600">
            <v>0</v>
          </cell>
        </row>
        <row r="601">
          <cell r="D601" t="str">
            <v xml:space="preserve">  C.167.            </v>
          </cell>
          <cell r="E601" t="str">
            <v>CP0715</v>
          </cell>
          <cell r="F601" t="str">
            <v>6.1.6.12.1</v>
          </cell>
          <cell r="G601" t="str">
            <v xml:space="preserve">Registro de gaveta, em ferro fundido, tipo chato, PN 10: DN 150  </v>
          </cell>
          <cell r="H601" t="str">
            <v xml:space="preserve">un    </v>
          </cell>
          <cell r="I601">
            <v>1</v>
          </cell>
          <cell r="J601">
            <v>551.52</v>
          </cell>
          <cell r="K601">
            <v>460.12</v>
          </cell>
          <cell r="L601">
            <v>551.52</v>
          </cell>
        </row>
        <row r="602">
          <cell r="D602" t="str">
            <v xml:space="preserve">  C.168.            </v>
          </cell>
          <cell r="E602" t="str">
            <v xml:space="preserve">      </v>
          </cell>
          <cell r="F602" t="str">
            <v>6.1.6.13.</v>
          </cell>
          <cell r="G602" t="str">
            <v xml:space="preserve">Registro de pressão em bronze, acabamento cromado:  </v>
          </cell>
          <cell r="H602" t="str">
            <v xml:space="preserve">      </v>
          </cell>
          <cell r="I602">
            <v>0</v>
          </cell>
          <cell r="J602">
            <v>0</v>
          </cell>
          <cell r="K602">
            <v>0</v>
          </cell>
          <cell r="L602">
            <v>0</v>
          </cell>
        </row>
        <row r="603">
          <cell r="D603" t="str">
            <v xml:space="preserve">  C.169.            </v>
          </cell>
          <cell r="E603" t="str">
            <v>CP1810</v>
          </cell>
          <cell r="F603" t="str">
            <v>6.1.6.13.1</v>
          </cell>
          <cell r="G603" t="str">
            <v xml:space="preserve">Registro de pressão em bronze, acabamento cromado: DN 3/4  </v>
          </cell>
          <cell r="H603" t="str">
            <v xml:space="preserve">un    </v>
          </cell>
          <cell r="I603">
            <v>1</v>
          </cell>
          <cell r="J603">
            <v>54.94</v>
          </cell>
          <cell r="K603">
            <v>46</v>
          </cell>
          <cell r="L603">
            <v>54.94</v>
          </cell>
        </row>
        <row r="604">
          <cell r="D604" t="str">
            <v xml:space="preserve">  C.170.            </v>
          </cell>
          <cell r="E604" t="str">
            <v>CP1828</v>
          </cell>
          <cell r="F604" t="str">
            <v>6.1.6.14.</v>
          </cell>
          <cell r="G604" t="str">
            <v xml:space="preserve">Torneira de bóia DN 1  </v>
          </cell>
          <cell r="H604" t="str">
            <v xml:space="preserve">un    </v>
          </cell>
          <cell r="I604">
            <v>1</v>
          </cell>
          <cell r="J604">
            <v>60.31</v>
          </cell>
          <cell r="K604">
            <v>50.33</v>
          </cell>
          <cell r="L604">
            <v>60.31</v>
          </cell>
        </row>
        <row r="605">
          <cell r="D605" t="str">
            <v xml:space="preserve">  C.171.            </v>
          </cell>
          <cell r="E605" t="str">
            <v xml:space="preserve">      </v>
          </cell>
          <cell r="F605" t="str">
            <v>6.1.6.15.</v>
          </cell>
          <cell r="G605" t="str">
            <v xml:space="preserve">Válvula de descarga:  </v>
          </cell>
          <cell r="H605" t="str">
            <v xml:space="preserve">      </v>
          </cell>
          <cell r="I605">
            <v>0</v>
          </cell>
          <cell r="J605">
            <v>0</v>
          </cell>
          <cell r="K605">
            <v>0</v>
          </cell>
          <cell r="L605">
            <v>0</v>
          </cell>
        </row>
        <row r="606">
          <cell r="D606" t="str">
            <v xml:space="preserve">  C.172.            </v>
          </cell>
          <cell r="E606" t="str">
            <v>CP0708</v>
          </cell>
          <cell r="F606" t="str">
            <v>6.1.6.15.1</v>
          </cell>
          <cell r="G606" t="str">
            <v xml:space="preserve">Válvula de descarga: DN 1 1/2  </v>
          </cell>
          <cell r="H606" t="str">
            <v xml:space="preserve">un    </v>
          </cell>
          <cell r="I606">
            <v>2</v>
          </cell>
          <cell r="J606">
            <v>117.34</v>
          </cell>
          <cell r="K606">
            <v>98.6</v>
          </cell>
          <cell r="L606">
            <v>234.68</v>
          </cell>
        </row>
        <row r="607">
          <cell r="D607" t="str">
            <v xml:space="preserve">  C.173.            </v>
          </cell>
          <cell r="E607" t="str">
            <v xml:space="preserve">      </v>
          </cell>
          <cell r="F607" t="str">
            <v>6.1.6.16.</v>
          </cell>
          <cell r="G607" t="str">
            <v xml:space="preserve">Válvula de retenção:  </v>
          </cell>
          <cell r="H607" t="str">
            <v xml:space="preserve">      </v>
          </cell>
          <cell r="I607">
            <v>0</v>
          </cell>
          <cell r="J607">
            <v>0</v>
          </cell>
          <cell r="K607">
            <v>0</v>
          </cell>
          <cell r="L607">
            <v>0</v>
          </cell>
        </row>
        <row r="608">
          <cell r="D608" t="str">
            <v xml:space="preserve">  C.174.            </v>
          </cell>
          <cell r="E608" t="str">
            <v>CP1782</v>
          </cell>
          <cell r="F608" t="str">
            <v>6.1.6.16.1</v>
          </cell>
          <cell r="G608" t="str">
            <v xml:space="preserve">Válvula de retenção: DN 1 1/2  </v>
          </cell>
          <cell r="H608" t="str">
            <v xml:space="preserve">un    </v>
          </cell>
          <cell r="I608">
            <v>3</v>
          </cell>
          <cell r="J608">
            <v>102.61</v>
          </cell>
          <cell r="K608">
            <v>85.96</v>
          </cell>
          <cell r="L608">
            <v>307.83</v>
          </cell>
        </row>
        <row r="609">
          <cell r="D609" t="str">
            <v xml:space="preserve">  C.175.            </v>
          </cell>
          <cell r="E609" t="str">
            <v>CP1879</v>
          </cell>
          <cell r="F609" t="str">
            <v>6.1.6.16.2</v>
          </cell>
          <cell r="G609" t="str">
            <v xml:space="preserve">Válvula de retenção: DN 3/4  </v>
          </cell>
          <cell r="H609" t="str">
            <v xml:space="preserve">un    </v>
          </cell>
          <cell r="I609">
            <v>2</v>
          </cell>
          <cell r="J609">
            <v>52.18</v>
          </cell>
          <cell r="K609">
            <v>43.82</v>
          </cell>
          <cell r="L609">
            <v>104.36</v>
          </cell>
        </row>
        <row r="610">
          <cell r="D610" t="str">
            <v xml:space="preserve">  C.176.            </v>
          </cell>
          <cell r="E610" t="str">
            <v>CP0746</v>
          </cell>
          <cell r="F610" t="str">
            <v>6.1.6.17.</v>
          </cell>
          <cell r="G610" t="str">
            <v xml:space="preserve">Torneira comum D= 3/4  </v>
          </cell>
          <cell r="H610" t="str">
            <v xml:space="preserve">un    </v>
          </cell>
          <cell r="I610">
            <v>1</v>
          </cell>
          <cell r="J610">
            <v>33.159999999999997</v>
          </cell>
          <cell r="K610">
            <v>27.85</v>
          </cell>
          <cell r="L610">
            <v>33.159999999999997</v>
          </cell>
        </row>
        <row r="611">
          <cell r="D611" t="str">
            <v xml:space="preserve">  C.177.            </v>
          </cell>
          <cell r="E611" t="str">
            <v xml:space="preserve">      </v>
          </cell>
          <cell r="F611" t="str">
            <v>6.2.</v>
          </cell>
          <cell r="G611" t="str">
            <v xml:space="preserve">Assentamento de Tubos, Peças, Conexões e Aparelhos Hidráulicos  </v>
          </cell>
          <cell r="H611" t="str">
            <v xml:space="preserve">      </v>
          </cell>
          <cell r="I611">
            <v>0</v>
          </cell>
          <cell r="J611">
            <v>0</v>
          </cell>
          <cell r="K611">
            <v>0</v>
          </cell>
          <cell r="L611">
            <v>0</v>
          </cell>
        </row>
        <row r="612">
          <cell r="D612" t="str">
            <v xml:space="preserve">  C.178.            </v>
          </cell>
          <cell r="E612" t="str">
            <v xml:space="preserve">      </v>
          </cell>
          <cell r="F612" t="str">
            <v>6.2.1.</v>
          </cell>
          <cell r="G612" t="str">
            <v xml:space="preserve">PVC - ESGOTO  </v>
          </cell>
          <cell r="H612" t="str">
            <v xml:space="preserve">      </v>
          </cell>
          <cell r="I612">
            <v>0</v>
          </cell>
          <cell r="J612">
            <v>0</v>
          </cell>
          <cell r="K612">
            <v>0</v>
          </cell>
          <cell r="L612">
            <v>0</v>
          </cell>
        </row>
        <row r="613">
          <cell r="D613" t="str">
            <v xml:space="preserve">  C.179.            </v>
          </cell>
          <cell r="E613" t="str">
            <v xml:space="preserve">      </v>
          </cell>
          <cell r="F613" t="str">
            <v>6.2.1.1.</v>
          </cell>
          <cell r="G613" t="str">
            <v xml:space="preserve">Tubo e conexões de PVC tipo esgoto:  </v>
          </cell>
          <cell r="H613" t="str">
            <v xml:space="preserve">      </v>
          </cell>
          <cell r="I613">
            <v>0</v>
          </cell>
          <cell r="J613">
            <v>0</v>
          </cell>
          <cell r="K613">
            <v>0</v>
          </cell>
          <cell r="L613">
            <v>0</v>
          </cell>
        </row>
        <row r="614">
          <cell r="D614" t="str">
            <v xml:space="preserve">  C.180.            </v>
          </cell>
          <cell r="E614" t="str">
            <v>CP0481</v>
          </cell>
          <cell r="F614" t="str">
            <v>6.2.1.1.1</v>
          </cell>
          <cell r="G614" t="str">
            <v xml:space="preserve">Tubo e conexões de PVC tipo esgoto: DN 150  </v>
          </cell>
          <cell r="H614" t="str">
            <v xml:space="preserve">m     </v>
          </cell>
          <cell r="I614">
            <v>98</v>
          </cell>
          <cell r="J614">
            <v>11.41</v>
          </cell>
          <cell r="K614">
            <v>9.5299999999999994</v>
          </cell>
          <cell r="L614">
            <v>1118.18</v>
          </cell>
        </row>
        <row r="615">
          <cell r="D615" t="str">
            <v xml:space="preserve">  C.181.            </v>
          </cell>
          <cell r="E615" t="str">
            <v>CP4604</v>
          </cell>
          <cell r="F615" t="str">
            <v>6.2.1.1.2</v>
          </cell>
          <cell r="G615" t="str">
            <v xml:space="preserve">Tubo e conexões de PVC tipo esgoto: DN 100  </v>
          </cell>
          <cell r="H615" t="str">
            <v xml:space="preserve">m     </v>
          </cell>
          <cell r="I615">
            <v>130</v>
          </cell>
          <cell r="J615">
            <v>11.21</v>
          </cell>
          <cell r="K615">
            <v>9.5299999999999994</v>
          </cell>
          <cell r="L615">
            <v>1457.3</v>
          </cell>
        </row>
        <row r="616">
          <cell r="D616" t="str">
            <v xml:space="preserve">  C.182.            </v>
          </cell>
          <cell r="E616" t="str">
            <v>CP0154</v>
          </cell>
          <cell r="F616" t="str">
            <v>6.2.1.1.3</v>
          </cell>
          <cell r="G616" t="str">
            <v xml:space="preserve">Tubo e conexões de PVC tipo esgoto: DN 75  </v>
          </cell>
          <cell r="H616" t="str">
            <v xml:space="preserve">m     </v>
          </cell>
          <cell r="I616">
            <v>24</v>
          </cell>
          <cell r="J616">
            <v>1.23</v>
          </cell>
          <cell r="K616">
            <v>9.5299999999999994</v>
          </cell>
          <cell r="L616">
            <v>29.52</v>
          </cell>
        </row>
        <row r="617">
          <cell r="D617" t="str">
            <v xml:space="preserve">  C.183.            </v>
          </cell>
          <cell r="E617" t="str">
            <v>CP0570</v>
          </cell>
          <cell r="F617" t="str">
            <v>6.2.1.1.4</v>
          </cell>
          <cell r="G617" t="str">
            <v xml:space="preserve">Tubo e conexões de PVC tipo esgoto: DN 50  </v>
          </cell>
          <cell r="H617" t="str">
            <v xml:space="preserve">m     </v>
          </cell>
          <cell r="I617">
            <v>12</v>
          </cell>
          <cell r="J617">
            <v>5.82</v>
          </cell>
          <cell r="K617">
            <v>6.36</v>
          </cell>
          <cell r="L617">
            <v>69.84</v>
          </cell>
        </row>
        <row r="618">
          <cell r="D618" t="str">
            <v xml:space="preserve">  C.184.            </v>
          </cell>
          <cell r="E618" t="str">
            <v>CP0575</v>
          </cell>
          <cell r="F618" t="str">
            <v>6.2.1.1.5</v>
          </cell>
          <cell r="G618" t="str">
            <v xml:space="preserve">Tubo e conexões de PVC tipo esgoto: DN 40  </v>
          </cell>
          <cell r="H618" t="str">
            <v xml:space="preserve">m     </v>
          </cell>
          <cell r="I618">
            <v>8</v>
          </cell>
          <cell r="J618">
            <v>5.82</v>
          </cell>
          <cell r="K618">
            <v>6.36</v>
          </cell>
          <cell r="L618">
            <v>46.56</v>
          </cell>
        </row>
        <row r="619">
          <cell r="D619" t="str">
            <v xml:space="preserve">  C.185.            </v>
          </cell>
          <cell r="E619" t="str">
            <v xml:space="preserve">      </v>
          </cell>
          <cell r="F619" t="str">
            <v>6.2.2.</v>
          </cell>
          <cell r="G619" t="str">
            <v xml:space="preserve">Caixa sifonada, com grelha cromada, completa:  </v>
          </cell>
          <cell r="H619" t="str">
            <v xml:space="preserve">      </v>
          </cell>
          <cell r="I619">
            <v>0</v>
          </cell>
          <cell r="J619">
            <v>0</v>
          </cell>
          <cell r="K619">
            <v>0</v>
          </cell>
          <cell r="L619">
            <v>0</v>
          </cell>
        </row>
        <row r="620">
          <cell r="D620" t="str">
            <v xml:space="preserve">  C.186.            </v>
          </cell>
          <cell r="E620" t="str">
            <v>CP0457</v>
          </cell>
          <cell r="F620" t="str">
            <v>6.2.2.1.</v>
          </cell>
          <cell r="G620" t="str">
            <v xml:space="preserve">Caixa sifonada, com grelha cromada, completa: 150 x 185 x 75  </v>
          </cell>
          <cell r="H620" t="str">
            <v xml:space="preserve">pç    </v>
          </cell>
          <cell r="I620">
            <v>4</v>
          </cell>
          <cell r="J620">
            <v>9.33</v>
          </cell>
          <cell r="K620">
            <v>21.11</v>
          </cell>
          <cell r="L620">
            <v>37.32</v>
          </cell>
        </row>
        <row r="621">
          <cell r="D621" t="str">
            <v xml:space="preserve">  C.187.            </v>
          </cell>
          <cell r="E621" t="str">
            <v xml:space="preserve">      </v>
          </cell>
          <cell r="F621" t="str">
            <v>6.2.3.</v>
          </cell>
          <cell r="G621" t="str">
            <v xml:space="preserve">Tubos e Conexões de PVC soldável:  </v>
          </cell>
          <cell r="H621" t="str">
            <v xml:space="preserve">      </v>
          </cell>
          <cell r="I621">
            <v>0</v>
          </cell>
          <cell r="J621">
            <v>0</v>
          </cell>
          <cell r="K621">
            <v>0</v>
          </cell>
          <cell r="L621">
            <v>0</v>
          </cell>
        </row>
        <row r="622">
          <cell r="D622" t="str">
            <v xml:space="preserve">  C.188.            </v>
          </cell>
          <cell r="E622" t="str">
            <v>CP0575</v>
          </cell>
          <cell r="F622" t="str">
            <v>6.2.3.1.</v>
          </cell>
          <cell r="G622" t="str">
            <v xml:space="preserve">Tubos e Conexões de PVC soldável: DN 20  </v>
          </cell>
          <cell r="H622" t="str">
            <v xml:space="preserve">m     </v>
          </cell>
          <cell r="I622">
            <v>12</v>
          </cell>
          <cell r="J622">
            <v>5.82</v>
          </cell>
          <cell r="K622">
            <v>6.85</v>
          </cell>
          <cell r="L622">
            <v>69.84</v>
          </cell>
        </row>
        <row r="623">
          <cell r="D623" t="str">
            <v xml:space="preserve">  C.189.            </v>
          </cell>
          <cell r="E623" t="str">
            <v>CP0575</v>
          </cell>
          <cell r="F623" t="str">
            <v>6.2.3.2.</v>
          </cell>
          <cell r="G623" t="str">
            <v xml:space="preserve">Tubos e Conexões de PVC soldável: DN 25  </v>
          </cell>
          <cell r="H623" t="str">
            <v xml:space="preserve">m     </v>
          </cell>
          <cell r="I623">
            <v>48</v>
          </cell>
          <cell r="J623">
            <v>5.82</v>
          </cell>
          <cell r="K623">
            <v>6.85</v>
          </cell>
          <cell r="L623">
            <v>279.36</v>
          </cell>
        </row>
        <row r="624">
          <cell r="D624" t="str">
            <v xml:space="preserve">  C.190.            </v>
          </cell>
          <cell r="E624" t="str">
            <v>CP0575</v>
          </cell>
          <cell r="F624" t="str">
            <v>6.2.3.3.</v>
          </cell>
          <cell r="G624" t="str">
            <v xml:space="preserve">Tubos e Conexões de PVC soldável: DN 32  </v>
          </cell>
          <cell r="H624" t="str">
            <v xml:space="preserve">m     </v>
          </cell>
          <cell r="I624">
            <v>12</v>
          </cell>
          <cell r="J624">
            <v>5.82</v>
          </cell>
          <cell r="K624">
            <v>7.95</v>
          </cell>
          <cell r="L624">
            <v>69.84</v>
          </cell>
        </row>
        <row r="625">
          <cell r="D625" t="str">
            <v xml:space="preserve">  C.191.            </v>
          </cell>
          <cell r="E625" t="str">
            <v>CP0570</v>
          </cell>
          <cell r="F625" t="str">
            <v>6.2.3.4.</v>
          </cell>
          <cell r="G625" t="str">
            <v xml:space="preserve">Tubos e Conexões de PVC soldável: DN 40  </v>
          </cell>
          <cell r="H625" t="str">
            <v xml:space="preserve">m     </v>
          </cell>
          <cell r="I625">
            <v>12</v>
          </cell>
          <cell r="J625">
            <v>5.82</v>
          </cell>
          <cell r="K625">
            <v>8.44</v>
          </cell>
          <cell r="L625">
            <v>69.84</v>
          </cell>
        </row>
        <row r="626">
          <cell r="D626" t="str">
            <v xml:space="preserve">  C.192.            </v>
          </cell>
          <cell r="E626" t="str">
            <v>CP0154</v>
          </cell>
          <cell r="F626" t="str">
            <v>6.2.3.5.</v>
          </cell>
          <cell r="G626" t="str">
            <v xml:space="preserve">Tubos e Conexões de PVC soldável: DN 50  </v>
          </cell>
          <cell r="H626" t="str">
            <v xml:space="preserve">m     </v>
          </cell>
          <cell r="I626">
            <v>12</v>
          </cell>
          <cell r="J626">
            <v>1.23</v>
          </cell>
          <cell r="K626">
            <v>10.02</v>
          </cell>
          <cell r="L626">
            <v>14.76</v>
          </cell>
        </row>
        <row r="627">
          <cell r="D627" t="str">
            <v xml:space="preserve">  C.193.            </v>
          </cell>
          <cell r="E627" t="str">
            <v>CP0154</v>
          </cell>
          <cell r="F627" t="str">
            <v>6.2.3.6.</v>
          </cell>
          <cell r="G627" t="str">
            <v xml:space="preserve">Tubos e Conexões de PVC soldável: DN 60  </v>
          </cell>
          <cell r="H627" t="str">
            <v xml:space="preserve">m     </v>
          </cell>
          <cell r="I627">
            <v>6</v>
          </cell>
          <cell r="J627">
            <v>1.23</v>
          </cell>
          <cell r="K627">
            <v>11.61</v>
          </cell>
          <cell r="L627">
            <v>7.38</v>
          </cell>
        </row>
        <row r="628">
          <cell r="D628" t="str">
            <v xml:space="preserve">  C.194.            </v>
          </cell>
          <cell r="E628" t="str">
            <v>CP0154</v>
          </cell>
          <cell r="F628" t="str">
            <v>6.2.3.7.</v>
          </cell>
          <cell r="G628" t="str">
            <v xml:space="preserve">Tubos e Conexões de PVC soldável: DN 75  </v>
          </cell>
          <cell r="H628" t="str">
            <v xml:space="preserve">m     </v>
          </cell>
          <cell r="I628">
            <v>18</v>
          </cell>
          <cell r="J628">
            <v>1.23</v>
          </cell>
          <cell r="K628">
            <v>14.8</v>
          </cell>
          <cell r="L628">
            <v>22.14</v>
          </cell>
        </row>
        <row r="629">
          <cell r="D629" t="str">
            <v xml:space="preserve">  C.195.            </v>
          </cell>
          <cell r="E629" t="str">
            <v>CP0481</v>
          </cell>
          <cell r="F629" t="str">
            <v>6.2.3.8.</v>
          </cell>
          <cell r="G629" t="str">
            <v xml:space="preserve">Tubos e Conexões de PVC soldável: DN 85  </v>
          </cell>
          <cell r="H629" t="str">
            <v xml:space="preserve">m     </v>
          </cell>
          <cell r="I629">
            <v>24</v>
          </cell>
          <cell r="J629">
            <v>11.41</v>
          </cell>
          <cell r="K629">
            <v>20.12</v>
          </cell>
          <cell r="L629">
            <v>273.83999999999997</v>
          </cell>
        </row>
        <row r="630">
          <cell r="D630" t="str">
            <v xml:space="preserve">  C.196.            </v>
          </cell>
          <cell r="E630" t="str">
            <v xml:space="preserve">      </v>
          </cell>
          <cell r="F630" t="str">
            <v>6.2.4.</v>
          </cell>
          <cell r="G630" t="str">
            <v xml:space="preserve">Tubo PVC DE FoFo:  </v>
          </cell>
          <cell r="H630" t="str">
            <v xml:space="preserve">      </v>
          </cell>
          <cell r="I630">
            <v>0</v>
          </cell>
          <cell r="J630">
            <v>0</v>
          </cell>
          <cell r="K630">
            <v>0</v>
          </cell>
          <cell r="L630">
            <v>0</v>
          </cell>
        </row>
        <row r="631">
          <cell r="D631" t="str">
            <v xml:space="preserve">  C.197.            </v>
          </cell>
          <cell r="E631" t="str">
            <v>CP0161</v>
          </cell>
          <cell r="F631" t="str">
            <v>6.2.4.1.</v>
          </cell>
          <cell r="G631" t="str">
            <v xml:space="preserve">Tubo PVC DE FoFo: DN 150  </v>
          </cell>
          <cell r="H631" t="str">
            <v xml:space="preserve">m     </v>
          </cell>
          <cell r="I631">
            <v>12</v>
          </cell>
          <cell r="J631">
            <v>1.88</v>
          </cell>
          <cell r="K631">
            <v>1.57</v>
          </cell>
          <cell r="L631">
            <v>22.56</v>
          </cell>
        </row>
        <row r="632">
          <cell r="D632" t="str">
            <v xml:space="preserve">  C.198.            </v>
          </cell>
          <cell r="E632" t="str">
            <v xml:space="preserve">      </v>
          </cell>
          <cell r="F632" t="str">
            <v>6.2.5.</v>
          </cell>
          <cell r="G632" t="str">
            <v xml:space="preserve">Aparelhos Hidráulicos  </v>
          </cell>
          <cell r="H632" t="str">
            <v xml:space="preserve">      </v>
          </cell>
          <cell r="I632">
            <v>0</v>
          </cell>
          <cell r="J632">
            <v>0</v>
          </cell>
          <cell r="K632">
            <v>0</v>
          </cell>
          <cell r="L632">
            <v>0</v>
          </cell>
        </row>
        <row r="633">
          <cell r="D633" t="str">
            <v xml:space="preserve">  C.199.            </v>
          </cell>
          <cell r="E633" t="str">
            <v>CP0467</v>
          </cell>
          <cell r="F633" t="str">
            <v>6.2.5.1.</v>
          </cell>
          <cell r="G633" t="str">
            <v xml:space="preserve">Vaso sanitário em louça  </v>
          </cell>
          <cell r="H633" t="str">
            <v xml:space="preserve">pç    </v>
          </cell>
          <cell r="I633">
            <v>2</v>
          </cell>
          <cell r="J633">
            <v>63.16</v>
          </cell>
          <cell r="K633">
            <v>53.31</v>
          </cell>
          <cell r="L633">
            <v>126.32</v>
          </cell>
        </row>
        <row r="634">
          <cell r="D634" t="str">
            <v xml:space="preserve">  C.200.            </v>
          </cell>
          <cell r="E634" t="str">
            <v>CP0453</v>
          </cell>
          <cell r="F634" t="str">
            <v>6.2.5.2.</v>
          </cell>
          <cell r="G634" t="str">
            <v xml:space="preserve">Lavatório sem coluna  </v>
          </cell>
          <cell r="H634" t="str">
            <v xml:space="preserve">pç    </v>
          </cell>
          <cell r="I634">
            <v>2</v>
          </cell>
          <cell r="J634">
            <v>20.079999999999998</v>
          </cell>
          <cell r="K634">
            <v>70.05</v>
          </cell>
          <cell r="L634">
            <v>40.159999999999997</v>
          </cell>
        </row>
        <row r="635">
          <cell r="D635" t="str">
            <v xml:space="preserve">  C.201.            </v>
          </cell>
          <cell r="E635" t="str">
            <v>CP0453</v>
          </cell>
          <cell r="F635" t="str">
            <v>6.2.5.3.</v>
          </cell>
          <cell r="G635" t="str">
            <v xml:space="preserve">Lava-olhos com chuveiro  </v>
          </cell>
          <cell r="H635" t="str">
            <v xml:space="preserve">un    </v>
          </cell>
          <cell r="I635">
            <v>1</v>
          </cell>
          <cell r="J635">
            <v>20.079999999999998</v>
          </cell>
          <cell r="K635">
            <v>65.61</v>
          </cell>
          <cell r="L635">
            <v>20.079999999999998</v>
          </cell>
        </row>
        <row r="636">
          <cell r="D636" t="str">
            <v xml:space="preserve">  C.202.            </v>
          </cell>
          <cell r="E636" t="str">
            <v xml:space="preserve">      </v>
          </cell>
          <cell r="F636" t="str">
            <v>6.2.5.4.</v>
          </cell>
          <cell r="G636" t="str">
            <v xml:space="preserve">Conjunto de metais  </v>
          </cell>
          <cell r="H636" t="str">
            <v xml:space="preserve">      </v>
          </cell>
          <cell r="I636">
            <v>0</v>
          </cell>
          <cell r="J636">
            <v>0</v>
          </cell>
          <cell r="K636">
            <v>0</v>
          </cell>
          <cell r="L636">
            <v>0</v>
          </cell>
        </row>
        <row r="637">
          <cell r="D637" t="str">
            <v xml:space="preserve">  C.203.            </v>
          </cell>
          <cell r="E637" t="str">
            <v>CP0528</v>
          </cell>
          <cell r="F637" t="str">
            <v>6.2.5.4.1</v>
          </cell>
          <cell r="G637" t="str">
            <v xml:space="preserve">Conjunto de metais Para lavatório  </v>
          </cell>
          <cell r="H637" t="str">
            <v xml:space="preserve">un    </v>
          </cell>
          <cell r="I637">
            <v>2</v>
          </cell>
          <cell r="J637">
            <v>28.37</v>
          </cell>
          <cell r="K637">
            <v>23.99</v>
          </cell>
          <cell r="L637">
            <v>56.74</v>
          </cell>
        </row>
        <row r="638">
          <cell r="D638" t="str">
            <v xml:space="preserve">  C.204.            </v>
          </cell>
          <cell r="E638" t="str">
            <v>CP0528</v>
          </cell>
          <cell r="F638" t="str">
            <v>6.2.5.4.2</v>
          </cell>
          <cell r="G638" t="str">
            <v xml:space="preserve">Conjunto de metais Para pia  </v>
          </cell>
          <cell r="H638" t="str">
            <v xml:space="preserve">un    </v>
          </cell>
          <cell r="I638">
            <v>2</v>
          </cell>
          <cell r="J638">
            <v>28.37</v>
          </cell>
          <cell r="K638">
            <v>23.99</v>
          </cell>
          <cell r="L638">
            <v>56.74</v>
          </cell>
        </row>
        <row r="639">
          <cell r="D639" t="str">
            <v xml:space="preserve">  C.205.            </v>
          </cell>
          <cell r="E639" t="str">
            <v xml:space="preserve">      </v>
          </cell>
          <cell r="F639" t="str">
            <v>6.2.5.5.</v>
          </cell>
          <cell r="G639" t="str">
            <v xml:space="preserve">Registro de gaveta:  </v>
          </cell>
          <cell r="H639" t="str">
            <v xml:space="preserve">      </v>
          </cell>
          <cell r="I639">
            <v>0</v>
          </cell>
          <cell r="J639">
            <v>0</v>
          </cell>
          <cell r="K639">
            <v>0</v>
          </cell>
          <cell r="L639">
            <v>0</v>
          </cell>
        </row>
        <row r="640">
          <cell r="D640" t="str">
            <v xml:space="preserve">  C.206.            </v>
          </cell>
          <cell r="E640" t="str">
            <v>CP0458</v>
          </cell>
          <cell r="F640" t="str">
            <v>6.2.5.5.1</v>
          </cell>
          <cell r="G640" t="str">
            <v xml:space="preserve">Registro de gaveta: DN 1 1/2  </v>
          </cell>
          <cell r="H640" t="str">
            <v xml:space="preserve">un    </v>
          </cell>
          <cell r="I640">
            <v>3</v>
          </cell>
          <cell r="J640">
            <v>19.32</v>
          </cell>
          <cell r="K640">
            <v>16.32</v>
          </cell>
          <cell r="L640">
            <v>57.96</v>
          </cell>
        </row>
        <row r="641">
          <cell r="D641" t="str">
            <v xml:space="preserve">  C.207.            </v>
          </cell>
          <cell r="E641" t="str">
            <v>CP0457</v>
          </cell>
          <cell r="F641" t="str">
            <v>6.2.5.5.2</v>
          </cell>
          <cell r="G641" t="str">
            <v xml:space="preserve">Registro de gaveta: DN 3/4  </v>
          </cell>
          <cell r="H641" t="str">
            <v xml:space="preserve">un    </v>
          </cell>
          <cell r="I641">
            <v>2</v>
          </cell>
          <cell r="J641">
            <v>9.33</v>
          </cell>
          <cell r="K641">
            <v>12.26</v>
          </cell>
          <cell r="L641">
            <v>18.66</v>
          </cell>
        </row>
        <row r="642">
          <cell r="D642" t="str">
            <v xml:space="preserve">  C.208.            </v>
          </cell>
          <cell r="E642" t="str">
            <v>CP0457</v>
          </cell>
          <cell r="F642" t="str">
            <v>6.2.5.5.3</v>
          </cell>
          <cell r="G642" t="str">
            <v xml:space="preserve">Registro de gaveta: DN 1/2  </v>
          </cell>
          <cell r="H642" t="str">
            <v xml:space="preserve">un    </v>
          </cell>
          <cell r="I642">
            <v>2</v>
          </cell>
          <cell r="J642">
            <v>9.33</v>
          </cell>
          <cell r="K642">
            <v>12.26</v>
          </cell>
          <cell r="L642">
            <v>18.66</v>
          </cell>
        </row>
        <row r="643">
          <cell r="D643" t="str">
            <v xml:space="preserve">  C.209.            </v>
          </cell>
          <cell r="E643" t="str">
            <v xml:space="preserve">      </v>
          </cell>
          <cell r="F643" t="str">
            <v>6.2.5.6.</v>
          </cell>
          <cell r="G643" t="str">
            <v xml:space="preserve">Registro de pressão:  </v>
          </cell>
          <cell r="H643" t="str">
            <v xml:space="preserve">      </v>
          </cell>
          <cell r="I643">
            <v>0</v>
          </cell>
          <cell r="J643">
            <v>0</v>
          </cell>
          <cell r="K643">
            <v>0</v>
          </cell>
          <cell r="L643">
            <v>0</v>
          </cell>
        </row>
        <row r="644">
          <cell r="D644" t="str">
            <v xml:space="preserve">  C.210.            </v>
          </cell>
          <cell r="E644" t="str">
            <v>CP0457</v>
          </cell>
          <cell r="F644" t="str">
            <v>6.2.5.6.1</v>
          </cell>
          <cell r="G644" t="str">
            <v xml:space="preserve">Registro de pressão: DN 3/4  </v>
          </cell>
          <cell r="H644" t="str">
            <v xml:space="preserve">un    </v>
          </cell>
          <cell r="I644">
            <v>1</v>
          </cell>
          <cell r="J644">
            <v>9.33</v>
          </cell>
          <cell r="K644">
            <v>7.8</v>
          </cell>
          <cell r="L644">
            <v>9.33</v>
          </cell>
        </row>
        <row r="645">
          <cell r="D645" t="str">
            <v xml:space="preserve">  C.211.            </v>
          </cell>
          <cell r="E645" t="str">
            <v xml:space="preserve">      </v>
          </cell>
          <cell r="F645" t="str">
            <v>7.</v>
          </cell>
          <cell r="G645" t="str">
            <v xml:space="preserve">Fornecimento de Materiais para Instalações de Processo  </v>
          </cell>
          <cell r="H645" t="str">
            <v xml:space="preserve">      </v>
          </cell>
          <cell r="I645">
            <v>0</v>
          </cell>
          <cell r="J645">
            <v>0</v>
          </cell>
          <cell r="K645">
            <v>0</v>
          </cell>
          <cell r="L645">
            <v>0</v>
          </cell>
        </row>
        <row r="646">
          <cell r="D646" t="str">
            <v xml:space="preserve">  C.212.            </v>
          </cell>
          <cell r="E646" t="str">
            <v xml:space="preserve">      </v>
          </cell>
          <cell r="F646" t="str">
            <v>7.1.</v>
          </cell>
          <cell r="G646" t="str">
            <v xml:space="preserve">Tubos em polipropileno soldáveis conforme norma DIN-8077, pressão nominal de 10 kg/cm², TUBELLI ou similar  </v>
          </cell>
          <cell r="H646" t="str">
            <v xml:space="preserve">      </v>
          </cell>
          <cell r="I646">
            <v>0</v>
          </cell>
          <cell r="J646">
            <v>0</v>
          </cell>
          <cell r="K646">
            <v>0</v>
          </cell>
          <cell r="L646">
            <v>0</v>
          </cell>
        </row>
        <row r="647">
          <cell r="D647" t="str">
            <v xml:space="preserve">  C.213.            </v>
          </cell>
          <cell r="E647" t="str">
            <v>CP0733</v>
          </cell>
          <cell r="F647" t="str">
            <v>7.1.1.</v>
          </cell>
          <cell r="G647" t="str">
            <v xml:space="preserve">Tubos em polipropileno soldáveis conforme norma DIN-8077, pressão nominal de 10 kg/cm², TUBELLI ou similar Tubo DN 85  </v>
          </cell>
          <cell r="H647" t="str">
            <v xml:space="preserve">m     </v>
          </cell>
          <cell r="I647">
            <v>12</v>
          </cell>
          <cell r="J647">
            <v>22.81</v>
          </cell>
          <cell r="K647">
            <v>19.02</v>
          </cell>
          <cell r="L647">
            <v>273.72000000000003</v>
          </cell>
        </row>
        <row r="648">
          <cell r="D648" t="str">
            <v xml:space="preserve">  C.214.            </v>
          </cell>
          <cell r="E648" t="str">
            <v>CP0738</v>
          </cell>
          <cell r="F648" t="str">
            <v>7.1.2.</v>
          </cell>
          <cell r="G648" t="str">
            <v xml:space="preserve">Tubos em polipropileno soldáveis conforme norma DIN-8077, pressão nominal de 10 kg/cm², TUBELLI ou similar Tubo DN 60  </v>
          </cell>
          <cell r="H648" t="str">
            <v xml:space="preserve">m     </v>
          </cell>
          <cell r="I648">
            <v>15</v>
          </cell>
          <cell r="J648">
            <v>11.21</v>
          </cell>
          <cell r="K648">
            <v>9.39</v>
          </cell>
          <cell r="L648">
            <v>168.15</v>
          </cell>
        </row>
        <row r="649">
          <cell r="D649" t="str">
            <v xml:space="preserve">  C.215.            </v>
          </cell>
          <cell r="E649" t="str">
            <v>CP0742</v>
          </cell>
          <cell r="F649" t="str">
            <v>7.1.3.</v>
          </cell>
          <cell r="G649" t="str">
            <v xml:space="preserve">Tubos em polipropileno soldáveis conforme norma DIN-8077, pressão nominal de 10 kg/cm², TUBELLI ou similar Tubo DN 40  </v>
          </cell>
          <cell r="H649" t="str">
            <v xml:space="preserve">m     </v>
          </cell>
          <cell r="I649">
            <v>12</v>
          </cell>
          <cell r="J649">
            <v>4.5999999999999996</v>
          </cell>
          <cell r="K649">
            <v>3.84</v>
          </cell>
          <cell r="L649">
            <v>55.2</v>
          </cell>
        </row>
        <row r="650">
          <cell r="D650" t="str">
            <v xml:space="preserve">  C.216.            </v>
          </cell>
          <cell r="E650" t="str">
            <v xml:space="preserve">      </v>
          </cell>
          <cell r="F650" t="str">
            <v>7.2.</v>
          </cell>
          <cell r="G650" t="str">
            <v xml:space="preserve">Conexões em polipropileno, pressão nominal de 10 kg/cm², TUBELLI ou similar  </v>
          </cell>
          <cell r="H650" t="str">
            <v xml:space="preserve">      </v>
          </cell>
          <cell r="I650">
            <v>0</v>
          </cell>
          <cell r="J650">
            <v>0</v>
          </cell>
          <cell r="K650">
            <v>0</v>
          </cell>
          <cell r="L650">
            <v>0</v>
          </cell>
        </row>
        <row r="651">
          <cell r="D651" t="str">
            <v xml:space="preserve">  C.217.            </v>
          </cell>
          <cell r="E651" t="str">
            <v>CP1866</v>
          </cell>
          <cell r="F651" t="str">
            <v>7.2.1.</v>
          </cell>
          <cell r="G651" t="str">
            <v xml:space="preserve">Conexões em polipropileno, pressão nominal de 10 kg/cm², TUBELLI ou similar Joelho 90° soldável DN 85  </v>
          </cell>
          <cell r="H651" t="str">
            <v xml:space="preserve">pç    </v>
          </cell>
          <cell r="I651">
            <v>9</v>
          </cell>
          <cell r="J651">
            <v>20.75</v>
          </cell>
          <cell r="K651">
            <v>0</v>
          </cell>
          <cell r="L651">
            <v>186.75</v>
          </cell>
        </row>
        <row r="652">
          <cell r="D652" t="str">
            <v xml:space="preserve">  C.218.            </v>
          </cell>
          <cell r="E652" t="str">
            <v>CP2023</v>
          </cell>
          <cell r="F652" t="str">
            <v>7.2.2.</v>
          </cell>
          <cell r="G652" t="str">
            <v xml:space="preserve">Conexões em polipropileno, pressão nominal de 10 kg/cm², TUBELLI ou similar Joelho 90° soldável DN 60  </v>
          </cell>
          <cell r="H652" t="str">
            <v xml:space="preserve">pç    </v>
          </cell>
          <cell r="I652">
            <v>12</v>
          </cell>
          <cell r="J652">
            <v>15</v>
          </cell>
          <cell r="K652">
            <v>17.350000000000001</v>
          </cell>
          <cell r="L652">
            <v>180</v>
          </cell>
        </row>
        <row r="653">
          <cell r="D653" t="str">
            <v xml:space="preserve">  C.219.            </v>
          </cell>
          <cell r="E653" t="str">
            <v>CP2170</v>
          </cell>
          <cell r="F653" t="str">
            <v>7.2.3.</v>
          </cell>
          <cell r="G653" t="str">
            <v xml:space="preserve">Conexões em polipropileno, pressão nominal de 10 kg/cm², TUBELLI ou similar Joelho 90° soldável DN 40  </v>
          </cell>
          <cell r="H653" t="str">
            <v xml:space="preserve">pç    </v>
          </cell>
          <cell r="I653">
            <v>8</v>
          </cell>
          <cell r="J653">
            <v>7.58</v>
          </cell>
          <cell r="K653">
            <v>12.52</v>
          </cell>
          <cell r="L653">
            <v>60.64</v>
          </cell>
        </row>
        <row r="654">
          <cell r="D654" t="str">
            <v xml:space="preserve">  C.220.            </v>
          </cell>
          <cell r="E654" t="str">
            <v>CP1898</v>
          </cell>
          <cell r="F654" t="str">
            <v>7.2.4.</v>
          </cell>
          <cell r="G654" t="str">
            <v xml:space="preserve">Conexões em polipropileno, pressão nominal de 10 kg/cm², TUBELLI ou similar Joelho 45o soldável DN 85  </v>
          </cell>
          <cell r="H654" t="str">
            <v xml:space="preserve">pç    </v>
          </cell>
          <cell r="I654">
            <v>2</v>
          </cell>
          <cell r="J654">
            <v>7.57</v>
          </cell>
          <cell r="K654">
            <v>6.33</v>
          </cell>
          <cell r="L654">
            <v>15.14</v>
          </cell>
        </row>
        <row r="655">
          <cell r="D655" t="str">
            <v xml:space="preserve">  C.221.            </v>
          </cell>
          <cell r="E655" t="str">
            <v>CP1865</v>
          </cell>
          <cell r="F655" t="str">
            <v>7.2.5.</v>
          </cell>
          <cell r="G655" t="str">
            <v xml:space="preserve">Conexões em polipropileno, pressão nominal de 10 kg/cm², TUBELLI ou similar Tê soldável DN 85  </v>
          </cell>
          <cell r="H655" t="str">
            <v xml:space="preserve">pç    </v>
          </cell>
          <cell r="I655">
            <v>3</v>
          </cell>
          <cell r="J655">
            <v>34.619999999999997</v>
          </cell>
          <cell r="K655">
            <v>83.75</v>
          </cell>
          <cell r="L655">
            <v>103.86</v>
          </cell>
        </row>
        <row r="656">
          <cell r="D656" t="str">
            <v xml:space="preserve">  C.222.            </v>
          </cell>
          <cell r="E656" t="str">
            <v>CP2051</v>
          </cell>
          <cell r="F656" t="str">
            <v>7.2.6.</v>
          </cell>
          <cell r="G656" t="str">
            <v xml:space="preserve">Conexões em polipropileno, pressão nominal de 10 kg/cm², TUBELLI ou similar Tê soldável DN 60  </v>
          </cell>
          <cell r="H656" t="str">
            <v xml:space="preserve">pç    </v>
          </cell>
          <cell r="I656">
            <v>2</v>
          </cell>
          <cell r="J656">
            <v>10.63</v>
          </cell>
          <cell r="K656">
            <v>29.05</v>
          </cell>
          <cell r="L656">
            <v>21.26</v>
          </cell>
        </row>
        <row r="657">
          <cell r="D657" t="str">
            <v xml:space="preserve">  C.223.            </v>
          </cell>
          <cell r="E657" t="str">
            <v>CP0728</v>
          </cell>
          <cell r="F657" t="str">
            <v>7.2.7.</v>
          </cell>
          <cell r="G657" t="str">
            <v xml:space="preserve">Conexões em polipropileno, pressão nominal de 10 kg/cm², TUBELLI ou similar Tê soldável DN 40  </v>
          </cell>
          <cell r="H657" t="str">
            <v xml:space="preserve">pç    </v>
          </cell>
          <cell r="I657">
            <v>3</v>
          </cell>
          <cell r="J657">
            <v>5.3</v>
          </cell>
          <cell r="K657">
            <v>8.93</v>
          </cell>
          <cell r="L657">
            <v>15.9</v>
          </cell>
        </row>
        <row r="658">
          <cell r="D658" t="str">
            <v xml:space="preserve">  C.224.            </v>
          </cell>
          <cell r="E658" t="str">
            <v>CP1885</v>
          </cell>
          <cell r="F658" t="str">
            <v>7.2.8.</v>
          </cell>
          <cell r="G658" t="str">
            <v xml:space="preserve">Conexões em polipropileno, pressão nominal de 10 kg/cm², TUBELLI ou similar União soldável DN 85  </v>
          </cell>
          <cell r="H658" t="str">
            <v xml:space="preserve">pç    </v>
          </cell>
          <cell r="I658">
            <v>1</v>
          </cell>
          <cell r="J658">
            <v>5.3</v>
          </cell>
          <cell r="K658">
            <v>4.42</v>
          </cell>
          <cell r="L658">
            <v>5.3</v>
          </cell>
        </row>
        <row r="659">
          <cell r="D659" t="str">
            <v xml:space="preserve">  C.225.            </v>
          </cell>
          <cell r="E659" t="str">
            <v xml:space="preserve">      </v>
          </cell>
          <cell r="F659" t="str">
            <v>7.3.</v>
          </cell>
          <cell r="G659" t="str">
            <v xml:space="preserve">Tubo em aço carbono sem costura, roscável SCHEDULE 80, zindados, MANNESMANN ou similar  </v>
          </cell>
          <cell r="H659" t="str">
            <v xml:space="preserve">      </v>
          </cell>
          <cell r="I659">
            <v>0</v>
          </cell>
          <cell r="J659">
            <v>0</v>
          </cell>
          <cell r="K659">
            <v>0</v>
          </cell>
          <cell r="L659">
            <v>0</v>
          </cell>
        </row>
        <row r="660">
          <cell r="D660" t="str">
            <v xml:space="preserve">  C.226.            </v>
          </cell>
          <cell r="E660" t="str">
            <v>CP1947</v>
          </cell>
          <cell r="F660" t="str">
            <v>7.3.1.</v>
          </cell>
          <cell r="G660" t="str">
            <v xml:space="preserve">Tubo em aço carbono sem costura, roscável SCHEDULE 80, zindados, MANNESMANN ou similar Tubo ø 1  </v>
          </cell>
          <cell r="H660" t="str">
            <v xml:space="preserve">m     </v>
          </cell>
          <cell r="I660">
            <v>38</v>
          </cell>
          <cell r="J660">
            <v>54.78</v>
          </cell>
          <cell r="K660">
            <v>78.260000000000005</v>
          </cell>
          <cell r="L660">
            <v>2081.64</v>
          </cell>
        </row>
        <row r="661">
          <cell r="D661" t="str">
            <v xml:space="preserve">  C.227.            </v>
          </cell>
          <cell r="E661" t="str">
            <v xml:space="preserve">      </v>
          </cell>
          <cell r="F661" t="str">
            <v>7.4.</v>
          </cell>
          <cell r="G661" t="str">
            <v xml:space="preserve">Conexões de ferro maleável, classe 300 Lb, zincadas, TUPY ou similar:  </v>
          </cell>
          <cell r="H661" t="str">
            <v xml:space="preserve">      </v>
          </cell>
          <cell r="I661">
            <v>0</v>
          </cell>
          <cell r="J661">
            <v>0</v>
          </cell>
          <cell r="K661">
            <v>0</v>
          </cell>
          <cell r="L661">
            <v>0</v>
          </cell>
        </row>
        <row r="662">
          <cell r="D662" t="str">
            <v xml:space="preserve">  C.228.            </v>
          </cell>
          <cell r="E662" t="str">
            <v>CP2105</v>
          </cell>
          <cell r="F662" t="str">
            <v>7.4.1.</v>
          </cell>
          <cell r="G662" t="str">
            <v xml:space="preserve">Conexões de ferro maleável, classe 300 Lb, zincadas, TUPY ou similar: Cotovelo 90° com rosca ø 1  </v>
          </cell>
          <cell r="H662" t="str">
            <v xml:space="preserve">pç    </v>
          </cell>
          <cell r="I662">
            <v>25</v>
          </cell>
          <cell r="J662">
            <v>8.4600000000000009</v>
          </cell>
          <cell r="K662">
            <v>12.08</v>
          </cell>
          <cell r="L662">
            <v>211.5</v>
          </cell>
        </row>
        <row r="663">
          <cell r="D663" t="str">
            <v xml:space="preserve">  C.229.            </v>
          </cell>
          <cell r="E663" t="str">
            <v>CP2141</v>
          </cell>
          <cell r="F663" t="str">
            <v>7.4.2.</v>
          </cell>
          <cell r="G663" t="str">
            <v xml:space="preserve">Conexões de ferro maleável, classe 300 Lb, zincadas, TUPY ou similar: Cotovelo 90° com rosca ø 3/4  </v>
          </cell>
          <cell r="H663" t="str">
            <v xml:space="preserve">pç    </v>
          </cell>
          <cell r="I663">
            <v>2</v>
          </cell>
          <cell r="J663">
            <v>7.48</v>
          </cell>
          <cell r="K663">
            <v>10.68</v>
          </cell>
          <cell r="L663">
            <v>14.96</v>
          </cell>
        </row>
        <row r="664">
          <cell r="D664" t="str">
            <v xml:space="preserve">  C.230.            </v>
          </cell>
          <cell r="E664" t="str">
            <v>CP0945</v>
          </cell>
          <cell r="F664" t="str">
            <v>7.4.3.</v>
          </cell>
          <cell r="G664" t="str">
            <v xml:space="preserve">Conexões de ferro maleável, classe 300 Lb, zincadas, TUPY ou similar: Bucha redução ø 1 x 3/4  </v>
          </cell>
          <cell r="H664" t="str">
            <v xml:space="preserve">pç    </v>
          </cell>
          <cell r="I664">
            <v>2</v>
          </cell>
          <cell r="J664">
            <v>0.94</v>
          </cell>
          <cell r="K664">
            <v>2.64</v>
          </cell>
          <cell r="L664">
            <v>1.88</v>
          </cell>
        </row>
        <row r="665">
          <cell r="D665" t="str">
            <v xml:space="preserve">  C.231.            </v>
          </cell>
          <cell r="E665" t="str">
            <v>CP1921</v>
          </cell>
          <cell r="F665" t="str">
            <v>7.4.4.</v>
          </cell>
          <cell r="G665" t="str">
            <v xml:space="preserve">Conexões de ferro maleável, classe 300 Lb, zincadas, TUPY ou similar: União com rosca ø 1  </v>
          </cell>
          <cell r="H665" t="str">
            <v xml:space="preserve">pç    </v>
          </cell>
          <cell r="I665">
            <v>8</v>
          </cell>
          <cell r="J665">
            <v>40.659999999999997</v>
          </cell>
          <cell r="K665">
            <v>58.08</v>
          </cell>
          <cell r="L665">
            <v>325.27999999999997</v>
          </cell>
        </row>
        <row r="666">
          <cell r="D666" t="str">
            <v xml:space="preserve">  C.232.            </v>
          </cell>
          <cell r="E666" t="str">
            <v>CP0936</v>
          </cell>
          <cell r="F666" t="str">
            <v>7.4.5.</v>
          </cell>
          <cell r="G666" t="str">
            <v xml:space="preserve">Conexões de ferro maleável, classe 300 Lb, zincadas, TUPY ou similar: Niple com rosca ø 1  </v>
          </cell>
          <cell r="H666" t="str">
            <v xml:space="preserve">pç    </v>
          </cell>
          <cell r="I666">
            <v>4</v>
          </cell>
          <cell r="J666">
            <v>3.94</v>
          </cell>
          <cell r="K666">
            <v>3.3</v>
          </cell>
          <cell r="L666">
            <v>15.76</v>
          </cell>
        </row>
        <row r="667">
          <cell r="D667" t="str">
            <v xml:space="preserve">  C.233.            </v>
          </cell>
          <cell r="E667" t="str">
            <v>CP0748</v>
          </cell>
          <cell r="F667" t="str">
            <v>7.4.6.</v>
          </cell>
          <cell r="G667" t="str">
            <v xml:space="preserve">Conexões de ferro maleável, classe 300 Lb, zincadas, TUPY ou similar: Tê com rosca ø 1  </v>
          </cell>
          <cell r="H667" t="str">
            <v xml:space="preserve">pç    </v>
          </cell>
          <cell r="I667">
            <v>5</v>
          </cell>
          <cell r="J667">
            <v>3.37</v>
          </cell>
          <cell r="K667">
            <v>2.83</v>
          </cell>
          <cell r="L667">
            <v>16.850000000000001</v>
          </cell>
        </row>
        <row r="668">
          <cell r="D668" t="str">
            <v xml:space="preserve">  C.234.            </v>
          </cell>
          <cell r="E668" t="str">
            <v>CP2032</v>
          </cell>
          <cell r="F668" t="str">
            <v>7.4.7.</v>
          </cell>
          <cell r="G668" t="str">
            <v xml:space="preserve">Conexões de ferro maleável, classe 300 Lb, zincadas, TUPY ou similar: Tê de redução com rosca ø 1 x 3/4  </v>
          </cell>
          <cell r="H668" t="str">
            <v xml:space="preserve">pç    </v>
          </cell>
          <cell r="I668">
            <v>14</v>
          </cell>
          <cell r="J668">
            <v>3.71</v>
          </cell>
          <cell r="K668">
            <v>3.11</v>
          </cell>
          <cell r="L668">
            <v>51.94</v>
          </cell>
        </row>
        <row r="669">
          <cell r="D669" t="str">
            <v xml:space="preserve">  C.235.            </v>
          </cell>
          <cell r="E669" t="str">
            <v xml:space="preserve">      </v>
          </cell>
          <cell r="F669" t="str">
            <v>7.5.</v>
          </cell>
          <cell r="G669" t="str">
            <v xml:space="preserve">Conexões em ferro maleável, classe 10 zincadas, TUPY ou similar:  </v>
          </cell>
          <cell r="H669" t="str">
            <v xml:space="preserve">      </v>
          </cell>
          <cell r="I669">
            <v>0</v>
          </cell>
          <cell r="J669">
            <v>0</v>
          </cell>
          <cell r="K669">
            <v>0</v>
          </cell>
          <cell r="L669">
            <v>0</v>
          </cell>
        </row>
        <row r="670">
          <cell r="D670" t="str">
            <v xml:space="preserve">  C.236.            </v>
          </cell>
          <cell r="E670" t="str">
            <v>CP2266</v>
          </cell>
          <cell r="F670" t="str">
            <v>7.5.1.</v>
          </cell>
          <cell r="G670" t="str">
            <v xml:space="preserve">Conexões em ferro maleável, classe 10 zincadas, TUPY ou similar: Cotovelo 90° com rosca ø 1/2  </v>
          </cell>
          <cell r="H670" t="str">
            <v xml:space="preserve">pç    </v>
          </cell>
          <cell r="I670">
            <v>4</v>
          </cell>
          <cell r="J670">
            <v>1.1299999999999999</v>
          </cell>
          <cell r="K670">
            <v>0.94</v>
          </cell>
          <cell r="L670">
            <v>4.5199999999999996</v>
          </cell>
        </row>
        <row r="671">
          <cell r="D671" t="str">
            <v xml:space="preserve">  C.237.            </v>
          </cell>
          <cell r="E671" t="str">
            <v>CP0751</v>
          </cell>
          <cell r="F671" t="str">
            <v>7.5.2.</v>
          </cell>
          <cell r="G671" t="str">
            <v xml:space="preserve">Conexões em ferro maleável, classe 10 zincadas, TUPY ou similar: Tê com rosca ø 1/2  </v>
          </cell>
          <cell r="H671" t="str">
            <v xml:space="preserve">pç    </v>
          </cell>
          <cell r="I671">
            <v>6</v>
          </cell>
          <cell r="J671">
            <v>1.35</v>
          </cell>
          <cell r="K671">
            <v>1.1299999999999999</v>
          </cell>
          <cell r="L671">
            <v>8.1</v>
          </cell>
        </row>
        <row r="672">
          <cell r="D672" t="str">
            <v xml:space="preserve">  C.238.            </v>
          </cell>
          <cell r="E672" t="str">
            <v xml:space="preserve">      </v>
          </cell>
          <cell r="F672" t="str">
            <v>7.6.</v>
          </cell>
          <cell r="G672" t="str">
            <v xml:space="preserve">Tubo em PVC rígido TIGRE ou similar:  </v>
          </cell>
          <cell r="H672" t="str">
            <v xml:space="preserve">      </v>
          </cell>
          <cell r="I672">
            <v>0</v>
          </cell>
          <cell r="J672">
            <v>0</v>
          </cell>
          <cell r="K672">
            <v>0</v>
          </cell>
          <cell r="L672">
            <v>0</v>
          </cell>
        </row>
        <row r="673">
          <cell r="D673" t="str">
            <v xml:space="preserve">  C.239.            </v>
          </cell>
          <cell r="E673" t="str">
            <v>CP0806</v>
          </cell>
          <cell r="F673" t="str">
            <v>7.6.1.</v>
          </cell>
          <cell r="G673" t="str">
            <v xml:space="preserve">Tubo em PVC rígido TIGRE ou similar: Tubo roscável ø 2  </v>
          </cell>
          <cell r="H673" t="str">
            <v xml:space="preserve">m     </v>
          </cell>
          <cell r="I673">
            <v>24</v>
          </cell>
          <cell r="J673">
            <v>11.23</v>
          </cell>
          <cell r="K673">
            <v>9.39</v>
          </cell>
          <cell r="L673">
            <v>269.52</v>
          </cell>
        </row>
        <row r="674">
          <cell r="D674" t="str">
            <v xml:space="preserve">  C.240.            </v>
          </cell>
          <cell r="E674" t="str">
            <v>CP2034</v>
          </cell>
          <cell r="F674" t="str">
            <v>7.6.2.</v>
          </cell>
          <cell r="G674" t="str">
            <v xml:space="preserve">Tubo em PVC rígido TIGRE ou similar: Tubo soldável D 85  </v>
          </cell>
          <cell r="H674" t="str">
            <v xml:space="preserve">m     </v>
          </cell>
          <cell r="I674">
            <v>16</v>
          </cell>
          <cell r="J674">
            <v>16.239999999999998</v>
          </cell>
          <cell r="K674">
            <v>13.56</v>
          </cell>
          <cell r="L674">
            <v>259.83999999999997</v>
          </cell>
        </row>
        <row r="675">
          <cell r="D675" t="str">
            <v xml:space="preserve">  C.241.            </v>
          </cell>
          <cell r="E675" t="str">
            <v>CP0881</v>
          </cell>
          <cell r="F675" t="str">
            <v>7.6.3.</v>
          </cell>
          <cell r="G675" t="str">
            <v xml:space="preserve">Tubo em PVC rígido TIGRE ou similar: Tubo soldável DN 50  </v>
          </cell>
          <cell r="H675" t="str">
            <v xml:space="preserve">m     </v>
          </cell>
          <cell r="I675">
            <v>6</v>
          </cell>
          <cell r="J675">
            <v>6.02</v>
          </cell>
          <cell r="K675">
            <v>5.04</v>
          </cell>
          <cell r="L675">
            <v>36.119999999999997</v>
          </cell>
        </row>
        <row r="676">
          <cell r="D676" t="str">
            <v xml:space="preserve">  C.242.            </v>
          </cell>
          <cell r="E676" t="str">
            <v>CP0891</v>
          </cell>
          <cell r="F676" t="str">
            <v>7.6.4.</v>
          </cell>
          <cell r="G676" t="str">
            <v xml:space="preserve">Tubo em PVC rígido TIGRE ou similar: Tubo soldável DN 32  </v>
          </cell>
          <cell r="H676" t="str">
            <v xml:space="preserve">m     </v>
          </cell>
          <cell r="I676">
            <v>12</v>
          </cell>
          <cell r="J676">
            <v>2.68</v>
          </cell>
          <cell r="K676">
            <v>2.2400000000000002</v>
          </cell>
          <cell r="L676">
            <v>32.159999999999997</v>
          </cell>
        </row>
        <row r="677">
          <cell r="D677" t="str">
            <v xml:space="preserve">  C.243.            </v>
          </cell>
          <cell r="E677" t="str">
            <v xml:space="preserve">      </v>
          </cell>
          <cell r="F677" t="str">
            <v>7.7.</v>
          </cell>
          <cell r="G677" t="str">
            <v xml:space="preserve">Conexões em PVC rígido TIGRE ou similar  </v>
          </cell>
          <cell r="H677" t="str">
            <v xml:space="preserve">      </v>
          </cell>
          <cell r="I677">
            <v>0</v>
          </cell>
          <cell r="J677">
            <v>0</v>
          </cell>
          <cell r="K677">
            <v>0</v>
          </cell>
          <cell r="L677">
            <v>0</v>
          </cell>
        </row>
        <row r="678">
          <cell r="D678" t="str">
            <v xml:space="preserve">  C.244.            </v>
          </cell>
          <cell r="E678" t="str">
            <v>CP0769</v>
          </cell>
          <cell r="F678" t="str">
            <v>7.7.1.</v>
          </cell>
          <cell r="G678" t="str">
            <v xml:space="preserve">Conexões em PVC rígido TIGRE ou similar Bucha de redução longa soldável 50 x 32  </v>
          </cell>
          <cell r="H678" t="str">
            <v xml:space="preserve">pç    </v>
          </cell>
          <cell r="I678">
            <v>1</v>
          </cell>
          <cell r="J678">
            <v>0.64</v>
          </cell>
          <cell r="K678">
            <v>0.54</v>
          </cell>
          <cell r="L678">
            <v>0.64</v>
          </cell>
        </row>
        <row r="679">
          <cell r="D679" t="str">
            <v xml:space="preserve">  C.245.            </v>
          </cell>
          <cell r="E679" t="str">
            <v>CP0906</v>
          </cell>
          <cell r="F679" t="str">
            <v>7.7.2.</v>
          </cell>
          <cell r="G679" t="str">
            <v xml:space="preserve">Conexões em PVC rígido TIGRE ou similar Nípel com rosca ø 2  </v>
          </cell>
          <cell r="H679" t="str">
            <v xml:space="preserve">pç    </v>
          </cell>
          <cell r="I679">
            <v>4</v>
          </cell>
          <cell r="J679">
            <v>5.63</v>
          </cell>
          <cell r="K679">
            <v>4.7</v>
          </cell>
          <cell r="L679">
            <v>22.52</v>
          </cell>
        </row>
        <row r="680">
          <cell r="D680" t="str">
            <v xml:space="preserve">  C.246.            </v>
          </cell>
          <cell r="E680" t="str">
            <v>CP2057</v>
          </cell>
          <cell r="F680" t="str">
            <v>7.7.3.</v>
          </cell>
          <cell r="G680" t="str">
            <v xml:space="preserve">Conexões em PVC rígido TIGRE ou similar Tê 90° com rosca ø 2  </v>
          </cell>
          <cell r="H680" t="str">
            <v xml:space="preserve">pç    </v>
          </cell>
          <cell r="I680">
            <v>2</v>
          </cell>
          <cell r="J680">
            <v>5.47</v>
          </cell>
          <cell r="K680">
            <v>4.59</v>
          </cell>
          <cell r="L680">
            <v>10.94</v>
          </cell>
        </row>
        <row r="681">
          <cell r="D681" t="str">
            <v xml:space="preserve">  C.247.            </v>
          </cell>
          <cell r="E681" t="str">
            <v>CP0908</v>
          </cell>
          <cell r="F681" t="str">
            <v>7.7.4.</v>
          </cell>
          <cell r="G681" t="str">
            <v xml:space="preserve">Conexões em PVC rígido TIGRE ou similar União com rosca ø 2  </v>
          </cell>
          <cell r="H681" t="str">
            <v xml:space="preserve">pç    </v>
          </cell>
          <cell r="I681">
            <v>4</v>
          </cell>
          <cell r="J681">
            <v>16.579999999999998</v>
          </cell>
          <cell r="K681">
            <v>13.84</v>
          </cell>
          <cell r="L681">
            <v>66.319999999999993</v>
          </cell>
        </row>
        <row r="682">
          <cell r="D682" t="str">
            <v xml:space="preserve">  C.248.            </v>
          </cell>
          <cell r="E682" t="str">
            <v>CP0912</v>
          </cell>
          <cell r="F682" t="str">
            <v>7.7.5.</v>
          </cell>
          <cell r="G682" t="str">
            <v xml:space="preserve">Conexões em PVC rígido TIGRE ou similar Joelho 90° com rosca ø 2  </v>
          </cell>
          <cell r="H682" t="str">
            <v xml:space="preserve">pç    </v>
          </cell>
          <cell r="I682">
            <v>5</v>
          </cell>
          <cell r="J682">
            <v>4.6100000000000003</v>
          </cell>
          <cell r="K682">
            <v>3.85</v>
          </cell>
          <cell r="L682">
            <v>23.05</v>
          </cell>
        </row>
        <row r="683">
          <cell r="D683" t="str">
            <v xml:space="preserve">  C.249.            </v>
          </cell>
          <cell r="E683" t="str">
            <v xml:space="preserve">      </v>
          </cell>
          <cell r="F683" t="str">
            <v>7.7.6.</v>
          </cell>
          <cell r="G683" t="str">
            <v xml:space="preserve">Conexões em PVC rígido TIGRE ou similar Joelho 90° soldável  </v>
          </cell>
          <cell r="H683" t="str">
            <v xml:space="preserve">      </v>
          </cell>
          <cell r="I683">
            <v>0</v>
          </cell>
          <cell r="J683">
            <v>0</v>
          </cell>
          <cell r="K683">
            <v>0</v>
          </cell>
          <cell r="L683">
            <v>0</v>
          </cell>
        </row>
        <row r="684">
          <cell r="D684" t="str">
            <v xml:space="preserve">  C.250.            </v>
          </cell>
          <cell r="E684" t="str">
            <v>CP0758</v>
          </cell>
          <cell r="F684" t="str">
            <v>7.7.6.1.</v>
          </cell>
          <cell r="G684" t="str">
            <v xml:space="preserve">Conexões em PVC rígido TIGRE ou similar Joelho 90° soldável D 85  </v>
          </cell>
          <cell r="H684" t="str">
            <v xml:space="preserve">pç    </v>
          </cell>
          <cell r="I684">
            <v>6</v>
          </cell>
          <cell r="J684">
            <v>46.22</v>
          </cell>
          <cell r="K684">
            <v>38.64</v>
          </cell>
          <cell r="L684">
            <v>277.32</v>
          </cell>
        </row>
        <row r="685">
          <cell r="D685" t="str">
            <v xml:space="preserve">  C.251.            </v>
          </cell>
          <cell r="E685" t="str">
            <v>CP0832</v>
          </cell>
          <cell r="F685" t="str">
            <v>7.7.6.2.</v>
          </cell>
          <cell r="G685" t="str">
            <v xml:space="preserve">Conexões em PVC rígido TIGRE ou similar Joelho 90° soldável D 50  </v>
          </cell>
          <cell r="H685" t="str">
            <v xml:space="preserve">pç    </v>
          </cell>
          <cell r="I685">
            <v>2</v>
          </cell>
          <cell r="J685">
            <v>2.97</v>
          </cell>
          <cell r="K685">
            <v>2.48</v>
          </cell>
          <cell r="L685">
            <v>5.94</v>
          </cell>
        </row>
        <row r="686">
          <cell r="D686" t="str">
            <v xml:space="preserve">  C.252.            </v>
          </cell>
          <cell r="E686" t="str">
            <v>CP0839</v>
          </cell>
          <cell r="F686" t="str">
            <v>7.7.6.3.</v>
          </cell>
          <cell r="G686" t="str">
            <v xml:space="preserve">Conexões em PVC rígido TIGRE ou similar Joelho 90° soldável D 32  </v>
          </cell>
          <cell r="H686" t="str">
            <v xml:space="preserve">pç    </v>
          </cell>
          <cell r="I686">
            <v>11</v>
          </cell>
          <cell r="J686">
            <v>0.42</v>
          </cell>
          <cell r="K686">
            <v>0.86</v>
          </cell>
          <cell r="L686">
            <v>4.62</v>
          </cell>
        </row>
        <row r="687">
          <cell r="D687" t="str">
            <v xml:space="preserve">  C.253.            </v>
          </cell>
          <cell r="E687" t="str">
            <v xml:space="preserve">      </v>
          </cell>
          <cell r="F687" t="str">
            <v>7.7.7.</v>
          </cell>
          <cell r="G687" t="str">
            <v xml:space="preserve">Conexões em PVC rígido TIGRE ou similar Tê 90° soldável  </v>
          </cell>
          <cell r="H687" t="str">
            <v xml:space="preserve">      </v>
          </cell>
          <cell r="I687">
            <v>0</v>
          </cell>
          <cell r="J687">
            <v>0</v>
          </cell>
          <cell r="K687">
            <v>0</v>
          </cell>
          <cell r="L687">
            <v>0</v>
          </cell>
        </row>
        <row r="688">
          <cell r="D688" t="str">
            <v xml:space="preserve">  C.254.            </v>
          </cell>
          <cell r="E688" t="str">
            <v>CP1895</v>
          </cell>
          <cell r="F688" t="str">
            <v>7.7.7.1.</v>
          </cell>
          <cell r="G688" t="str">
            <v xml:space="preserve">Conexões em PVC rígido TIGRE ou similar Tê 90° soldável D 85  </v>
          </cell>
          <cell r="H688" t="str">
            <v xml:space="preserve">pç    </v>
          </cell>
          <cell r="I688">
            <v>1</v>
          </cell>
          <cell r="J688">
            <v>51.34</v>
          </cell>
          <cell r="K688">
            <v>53.07</v>
          </cell>
          <cell r="L688">
            <v>51.34</v>
          </cell>
        </row>
        <row r="689">
          <cell r="D689" t="str">
            <v xml:space="preserve">  C.255.            </v>
          </cell>
          <cell r="E689" t="str">
            <v>CP0817</v>
          </cell>
          <cell r="F689" t="str">
            <v>7.7.7.2.</v>
          </cell>
          <cell r="G689" t="str">
            <v xml:space="preserve">Conexões em PVC rígido TIGRE ou similar Tê 90° soldável D 50  </v>
          </cell>
          <cell r="H689" t="str">
            <v xml:space="preserve">pç    </v>
          </cell>
          <cell r="I689">
            <v>2</v>
          </cell>
          <cell r="J689">
            <v>4.63</v>
          </cell>
          <cell r="K689">
            <v>3.86</v>
          </cell>
          <cell r="L689">
            <v>9.26</v>
          </cell>
        </row>
        <row r="690">
          <cell r="D690" t="str">
            <v xml:space="preserve">  C.256.            </v>
          </cell>
          <cell r="E690" t="str">
            <v>CP0818</v>
          </cell>
          <cell r="F690" t="str">
            <v>7.7.7.3.</v>
          </cell>
          <cell r="G690" t="str">
            <v xml:space="preserve">Conexões em PVC rígido TIGRE ou similar Tê 90° soldável D 32  </v>
          </cell>
          <cell r="H690" t="str">
            <v xml:space="preserve">pç    </v>
          </cell>
          <cell r="I690">
            <v>1</v>
          </cell>
          <cell r="J690">
            <v>1.83</v>
          </cell>
          <cell r="K690">
            <v>1.53</v>
          </cell>
          <cell r="L690">
            <v>1.83</v>
          </cell>
        </row>
        <row r="691">
          <cell r="D691" t="str">
            <v xml:space="preserve">  C.257.            </v>
          </cell>
          <cell r="E691" t="str">
            <v xml:space="preserve">      </v>
          </cell>
          <cell r="F691" t="str">
            <v>8.</v>
          </cell>
          <cell r="G691" t="str">
            <v xml:space="preserve">Assentamento de Materiais para Instalações de Processo  </v>
          </cell>
          <cell r="H691" t="str">
            <v xml:space="preserve">      </v>
          </cell>
          <cell r="I691">
            <v>0</v>
          </cell>
          <cell r="J691">
            <v>0</v>
          </cell>
          <cell r="K691">
            <v>0</v>
          </cell>
          <cell r="L691">
            <v>0</v>
          </cell>
        </row>
        <row r="692">
          <cell r="D692" t="str">
            <v xml:space="preserve">  C.258.            </v>
          </cell>
          <cell r="E692" t="str">
            <v xml:space="preserve">      </v>
          </cell>
          <cell r="F692" t="str">
            <v>8.1.</v>
          </cell>
          <cell r="G692" t="str">
            <v xml:space="preserve">Tubos e conexões em polipropileno soldáveis conforme norma DIN-8077, pressão nominal de 10 kg/cm², TUBELLI ou similar  </v>
          </cell>
          <cell r="H692" t="str">
            <v xml:space="preserve">      </v>
          </cell>
          <cell r="I692">
            <v>0</v>
          </cell>
          <cell r="J692">
            <v>0</v>
          </cell>
          <cell r="K692">
            <v>0</v>
          </cell>
          <cell r="L692">
            <v>0</v>
          </cell>
        </row>
        <row r="693">
          <cell r="D693" t="str">
            <v xml:space="preserve">  C.259.            </v>
          </cell>
          <cell r="E693" t="str">
            <v>CP0163</v>
          </cell>
          <cell r="F693" t="str">
            <v>8.1.1.</v>
          </cell>
          <cell r="G693" t="str">
            <v xml:space="preserve">Tubos e conexões em polipropileno soldáveis conforme norma DIN-8077, pressão nominal de 10 kg/cm², TUBELLI ou similar Tubo DN 85  </v>
          </cell>
          <cell r="H693" t="str">
            <v xml:space="preserve">m     </v>
          </cell>
          <cell r="I693">
            <v>12</v>
          </cell>
          <cell r="J693">
            <v>6.66</v>
          </cell>
          <cell r="K693">
            <v>9.51</v>
          </cell>
          <cell r="L693">
            <v>79.92</v>
          </cell>
        </row>
        <row r="694">
          <cell r="D694" t="str">
            <v xml:space="preserve">  C.260.            </v>
          </cell>
          <cell r="E694" t="str">
            <v>CP0158</v>
          </cell>
          <cell r="F694" t="str">
            <v>8.1.2.</v>
          </cell>
          <cell r="G694" t="str">
            <v xml:space="preserve">Tubos e conexões em polipropileno soldáveis conforme norma DIN-8077, pressão nominal de 10 kg/cm², TUBELLI ou similar Tubo DN 60  </v>
          </cell>
          <cell r="H694" t="str">
            <v xml:space="preserve">m     </v>
          </cell>
          <cell r="I694">
            <v>15</v>
          </cell>
          <cell r="J694">
            <v>1.1299999999999999</v>
          </cell>
          <cell r="K694">
            <v>4.7</v>
          </cell>
          <cell r="L694">
            <v>16.95</v>
          </cell>
        </row>
        <row r="695">
          <cell r="D695" t="str">
            <v xml:space="preserve">  C.261.            </v>
          </cell>
          <cell r="E695" t="str">
            <v>CP0155</v>
          </cell>
          <cell r="F695" t="str">
            <v>8.1.3.</v>
          </cell>
          <cell r="G695" t="str">
            <v xml:space="preserve">Tubos e conexões em polipropileno soldáveis conforme norma DIN-8077, pressão nominal de 10 kg/cm², TUBELLI ou similar Tubo DN 40  </v>
          </cell>
          <cell r="H695" t="str">
            <v xml:space="preserve">m     </v>
          </cell>
          <cell r="I695">
            <v>12</v>
          </cell>
          <cell r="J695">
            <v>1.34</v>
          </cell>
          <cell r="K695">
            <v>1.92</v>
          </cell>
          <cell r="L695">
            <v>16.079999999999998</v>
          </cell>
        </row>
        <row r="696">
          <cell r="D696" t="str">
            <v xml:space="preserve">  C.262.            </v>
          </cell>
          <cell r="E696" t="str">
            <v xml:space="preserve">      </v>
          </cell>
          <cell r="F696" t="str">
            <v>8.2.</v>
          </cell>
          <cell r="G696" t="str">
            <v xml:space="preserve">Tubos e conexões em aço carbono sem costura, roscável SCHEDULE 80, zindados, MANNESMANN ou similar  </v>
          </cell>
          <cell r="H696" t="str">
            <v xml:space="preserve">      </v>
          </cell>
          <cell r="I696">
            <v>0</v>
          </cell>
          <cell r="J696">
            <v>0</v>
          </cell>
          <cell r="K696">
            <v>0</v>
          </cell>
          <cell r="L696">
            <v>0</v>
          </cell>
        </row>
        <row r="697">
          <cell r="D697" t="str">
            <v xml:space="preserve">  C.263.            </v>
          </cell>
          <cell r="E697" t="str">
            <v>CP0489</v>
          </cell>
          <cell r="F697" t="str">
            <v>8.2.1.</v>
          </cell>
          <cell r="G697" t="str">
            <v xml:space="preserve">Tubos e conexões em aço carbono sem costura, roscável SCHEDULE 80, zindados, MANNESMANN ou similar Tubo ø 1  </v>
          </cell>
          <cell r="H697" t="str">
            <v xml:space="preserve">m     </v>
          </cell>
          <cell r="I697">
            <v>38</v>
          </cell>
          <cell r="J697">
            <v>15.55</v>
          </cell>
          <cell r="K697">
            <v>13.02</v>
          </cell>
          <cell r="L697">
            <v>590.9</v>
          </cell>
        </row>
        <row r="698">
          <cell r="D698" t="str">
            <v xml:space="preserve">  C.264.            </v>
          </cell>
          <cell r="E698" t="str">
            <v xml:space="preserve">      </v>
          </cell>
          <cell r="F698" t="str">
            <v>8.3.</v>
          </cell>
          <cell r="G698" t="str">
            <v xml:space="preserve">Tubos e conexões em PVC rígido TIGRE ou similar  </v>
          </cell>
          <cell r="H698" t="str">
            <v xml:space="preserve">      </v>
          </cell>
          <cell r="I698">
            <v>0</v>
          </cell>
          <cell r="J698">
            <v>0</v>
          </cell>
          <cell r="K698">
            <v>0</v>
          </cell>
          <cell r="L698">
            <v>0</v>
          </cell>
        </row>
        <row r="699">
          <cell r="D699" t="str">
            <v xml:space="preserve">  C.265.            </v>
          </cell>
          <cell r="E699" t="str">
            <v>CP0481</v>
          </cell>
          <cell r="F699" t="str">
            <v>8.3.1.</v>
          </cell>
          <cell r="G699" t="str">
            <v xml:space="preserve">Tubos e conexões em PVC rígido TIGRE ou similar Tubo roscável ø 2  </v>
          </cell>
          <cell r="H699" t="str">
            <v xml:space="preserve">m     </v>
          </cell>
          <cell r="I699">
            <v>24</v>
          </cell>
          <cell r="J699">
            <v>11.41</v>
          </cell>
          <cell r="K699">
            <v>14.31</v>
          </cell>
          <cell r="L699">
            <v>273.83999999999997</v>
          </cell>
        </row>
        <row r="700">
          <cell r="D700" t="str">
            <v xml:space="preserve">  C.266.            </v>
          </cell>
          <cell r="E700" t="str">
            <v>CP0154</v>
          </cell>
          <cell r="F700" t="str">
            <v>8.3.2.</v>
          </cell>
          <cell r="G700" t="str">
            <v xml:space="preserve">Tubos e conexões em PVC rígido TIGRE ou similar Tubo soldável D 85  </v>
          </cell>
          <cell r="H700" t="str">
            <v xml:space="preserve">m     </v>
          </cell>
          <cell r="I700">
            <v>16</v>
          </cell>
          <cell r="J700">
            <v>1.23</v>
          </cell>
          <cell r="K700">
            <v>20.12</v>
          </cell>
          <cell r="L700">
            <v>19.68</v>
          </cell>
        </row>
        <row r="701">
          <cell r="D701" t="str">
            <v xml:space="preserve">  C.267.            </v>
          </cell>
          <cell r="E701" t="str">
            <v>CP0154</v>
          </cell>
          <cell r="F701" t="str">
            <v>8.3.3.</v>
          </cell>
          <cell r="G701" t="str">
            <v xml:space="preserve">Tubos e conexões em PVC rígido TIGRE ou similar Tubo soldável DN 50  </v>
          </cell>
          <cell r="H701" t="str">
            <v xml:space="preserve">m     </v>
          </cell>
          <cell r="I701">
            <v>6</v>
          </cell>
          <cell r="J701">
            <v>1.23</v>
          </cell>
          <cell r="K701">
            <v>10.02</v>
          </cell>
          <cell r="L701">
            <v>7.38</v>
          </cell>
        </row>
        <row r="702">
          <cell r="D702" t="str">
            <v xml:space="preserve">  C.268.            </v>
          </cell>
          <cell r="E702" t="str">
            <v>CP0575</v>
          </cell>
          <cell r="F702" t="str">
            <v>8.3.4.</v>
          </cell>
          <cell r="G702" t="str">
            <v xml:space="preserve">Tubos e conexões em PVC rígido TIGRE ou similar Tubo soldável DN 32  </v>
          </cell>
          <cell r="H702" t="str">
            <v xml:space="preserve">m     </v>
          </cell>
          <cell r="I702">
            <v>12</v>
          </cell>
          <cell r="J702">
            <v>5.82</v>
          </cell>
          <cell r="K702">
            <v>7.95</v>
          </cell>
          <cell r="L702">
            <v>69.84</v>
          </cell>
        </row>
        <row r="703">
          <cell r="D703" t="str">
            <v xml:space="preserve">  C.269.            </v>
          </cell>
          <cell r="E703" t="str">
            <v xml:space="preserve">      </v>
          </cell>
          <cell r="F703" t="str">
            <v>9.</v>
          </cell>
          <cell r="G703" t="str">
            <v xml:space="preserve">Fornecimento de Equipamentos, Válvulas e Miscelâneas Diversas para Instalações de Processo  </v>
          </cell>
          <cell r="H703" t="str">
            <v xml:space="preserve">      </v>
          </cell>
          <cell r="I703">
            <v>0</v>
          </cell>
          <cell r="J703">
            <v>0</v>
          </cell>
          <cell r="K703">
            <v>0</v>
          </cell>
          <cell r="L703">
            <v>0</v>
          </cell>
        </row>
        <row r="704">
          <cell r="D704" t="str">
            <v xml:space="preserve">  C.270.            </v>
          </cell>
          <cell r="E704" t="str">
            <v xml:space="preserve">      </v>
          </cell>
          <cell r="F704" t="str">
            <v>9.1.</v>
          </cell>
          <cell r="G704" t="str">
            <v xml:space="preserve">Válvulas de esfera em polipropileno soldáveis, acionamento manual  </v>
          </cell>
          <cell r="H704" t="str">
            <v xml:space="preserve">      </v>
          </cell>
          <cell r="I704">
            <v>0</v>
          </cell>
          <cell r="J704">
            <v>0</v>
          </cell>
          <cell r="K704">
            <v>0</v>
          </cell>
          <cell r="L704">
            <v>0</v>
          </cell>
        </row>
        <row r="705">
          <cell r="D705" t="str">
            <v xml:space="preserve">  C.271.            </v>
          </cell>
          <cell r="E705" t="str">
            <v>CP1490</v>
          </cell>
          <cell r="F705" t="str">
            <v>9.1.1.</v>
          </cell>
          <cell r="G705" t="str">
            <v xml:space="preserve">Válvulas de esfera em polipropileno soldáveis, acionamento manual DN 85  </v>
          </cell>
          <cell r="H705" t="str">
            <v xml:space="preserve">un    </v>
          </cell>
          <cell r="I705">
            <v>6</v>
          </cell>
          <cell r="J705">
            <v>1060.83</v>
          </cell>
          <cell r="K705">
            <v>890.99</v>
          </cell>
          <cell r="L705">
            <v>6364.98</v>
          </cell>
        </row>
        <row r="706">
          <cell r="D706" t="str">
            <v xml:space="preserve">  C.272.            </v>
          </cell>
          <cell r="E706" t="str">
            <v>CP1632</v>
          </cell>
          <cell r="F706" t="str">
            <v>9.1.2.</v>
          </cell>
          <cell r="G706" t="str">
            <v xml:space="preserve">Válvulas de esfera em polipropileno soldáveis, acionamento manual DN 60  </v>
          </cell>
          <cell r="H706" t="str">
            <v xml:space="preserve">un    </v>
          </cell>
          <cell r="I706">
            <v>6</v>
          </cell>
          <cell r="J706">
            <v>604.76</v>
          </cell>
          <cell r="K706">
            <v>507.07</v>
          </cell>
          <cell r="L706">
            <v>3628.56</v>
          </cell>
        </row>
        <row r="707">
          <cell r="D707" t="str">
            <v xml:space="preserve">  C.273.            </v>
          </cell>
          <cell r="E707" t="str">
            <v>CP1674</v>
          </cell>
          <cell r="F707" t="str">
            <v>9.1.3.</v>
          </cell>
          <cell r="G707" t="str">
            <v xml:space="preserve">Válvulas de esfera em polipropileno soldáveis, acionamento manual DN 50  </v>
          </cell>
          <cell r="H707" t="str">
            <v xml:space="preserve">un    </v>
          </cell>
          <cell r="I707">
            <v>2</v>
          </cell>
          <cell r="J707">
            <v>433.26</v>
          </cell>
          <cell r="K707">
            <v>362.19</v>
          </cell>
          <cell r="L707">
            <v>866.52</v>
          </cell>
        </row>
        <row r="708">
          <cell r="D708" t="str">
            <v xml:space="preserve">  C.274.            </v>
          </cell>
          <cell r="E708" t="str">
            <v>CP1663</v>
          </cell>
          <cell r="F708" t="str">
            <v>9.1.4.</v>
          </cell>
          <cell r="G708" t="str">
            <v xml:space="preserve">Válvulas de esfera em polipropileno soldáveis, acionamento manual DN 40  </v>
          </cell>
          <cell r="H708" t="str">
            <v xml:space="preserve">un    </v>
          </cell>
          <cell r="I708">
            <v>3</v>
          </cell>
          <cell r="J708">
            <v>310.2</v>
          </cell>
          <cell r="K708">
            <v>258.70999999999998</v>
          </cell>
          <cell r="L708">
            <v>930.6</v>
          </cell>
        </row>
        <row r="709">
          <cell r="D709" t="str">
            <v xml:space="preserve">  C.275.            </v>
          </cell>
          <cell r="E709" t="str">
            <v>CP1685</v>
          </cell>
          <cell r="F709" t="str">
            <v>9.1.5.</v>
          </cell>
          <cell r="G709" t="str">
            <v xml:space="preserve">Válvulas de esfera em polipropileno soldáveis, acionamento manual DN 32  </v>
          </cell>
          <cell r="H709" t="str">
            <v xml:space="preserve">un    </v>
          </cell>
          <cell r="I709">
            <v>2</v>
          </cell>
          <cell r="J709">
            <v>237.54</v>
          </cell>
          <cell r="K709">
            <v>199.01</v>
          </cell>
          <cell r="L709">
            <v>475.08</v>
          </cell>
        </row>
        <row r="710">
          <cell r="D710" t="str">
            <v xml:space="preserve">  C.276.            </v>
          </cell>
          <cell r="E710" t="str">
            <v xml:space="preserve">      </v>
          </cell>
          <cell r="F710" t="str">
            <v>9.2.</v>
          </cell>
          <cell r="G710" t="str">
            <v xml:space="preserve">Válvula de esfera em prolipropileno, soldáveis, com acionamento pneumático, dotada de solenoide 220 VCA, normalmente fechada  </v>
          </cell>
          <cell r="H710" t="str">
            <v xml:space="preserve">      </v>
          </cell>
          <cell r="I710">
            <v>0</v>
          </cell>
          <cell r="J710">
            <v>0</v>
          </cell>
          <cell r="K710">
            <v>0</v>
          </cell>
          <cell r="L710">
            <v>0</v>
          </cell>
        </row>
        <row r="711">
          <cell r="D711" t="str">
            <v xml:space="preserve">  C.277.            </v>
          </cell>
          <cell r="E711" t="str">
            <v>CP1396</v>
          </cell>
          <cell r="F711" t="str">
            <v>9.2.1.</v>
          </cell>
          <cell r="G711" t="str">
            <v xml:space="preserve">Válvula de esfera em prolipropileno, soldáveis, com acionamento pneumático, dotada de solenoide 220 VCA, normalmente fechada DN 85  </v>
          </cell>
          <cell r="H711" t="str">
            <v xml:space="preserve">un    </v>
          </cell>
          <cell r="I711">
            <v>5</v>
          </cell>
          <cell r="J711">
            <v>19207.77</v>
          </cell>
          <cell r="K711">
            <v>27439.67</v>
          </cell>
          <cell r="L711">
            <v>96038.85</v>
          </cell>
        </row>
        <row r="712">
          <cell r="D712" t="str">
            <v xml:space="preserve">  C.278.            </v>
          </cell>
          <cell r="E712" t="str">
            <v>CP1568</v>
          </cell>
          <cell r="F712" t="str">
            <v>9.2.2.</v>
          </cell>
          <cell r="G712" t="str">
            <v xml:space="preserve">Válvula de esfera em prolipropileno, soldáveis, com acionamento pneumático, dotada de solenoide 220 VCA, normalmente fechada DN 40  </v>
          </cell>
          <cell r="H712" t="str">
            <v xml:space="preserve">un    </v>
          </cell>
          <cell r="I712">
            <v>2</v>
          </cell>
          <cell r="J712">
            <v>3623.93</v>
          </cell>
          <cell r="K712">
            <v>5177.04</v>
          </cell>
          <cell r="L712">
            <v>7247.86</v>
          </cell>
        </row>
        <row r="713">
          <cell r="D713" t="str">
            <v xml:space="preserve">  C.279.            </v>
          </cell>
          <cell r="E713" t="str">
            <v xml:space="preserve">      </v>
          </cell>
          <cell r="F713" t="str">
            <v>9.3.</v>
          </cell>
          <cell r="G713" t="str">
            <v xml:space="preserve">Válvula de esfera em bronze roscável, acionamento manual  </v>
          </cell>
          <cell r="H713" t="str">
            <v xml:space="preserve">      </v>
          </cell>
          <cell r="I713">
            <v>0</v>
          </cell>
          <cell r="J713">
            <v>0</v>
          </cell>
          <cell r="K713">
            <v>0</v>
          </cell>
          <cell r="L713">
            <v>0</v>
          </cell>
        </row>
        <row r="714">
          <cell r="D714" t="str">
            <v xml:space="preserve">  C.280.            </v>
          </cell>
          <cell r="E714" t="str">
            <v>CP1774</v>
          </cell>
          <cell r="F714" t="str">
            <v>9.3.1.</v>
          </cell>
          <cell r="G714" t="str">
            <v xml:space="preserve">Válvula de esfera em bronze roscável, acionamento manual ø 1/2  </v>
          </cell>
          <cell r="H714" t="str">
            <v xml:space="preserve">un    </v>
          </cell>
          <cell r="I714">
            <v>7</v>
          </cell>
          <cell r="J714">
            <v>25.24</v>
          </cell>
          <cell r="K714">
            <v>21.15</v>
          </cell>
          <cell r="L714">
            <v>176.68</v>
          </cell>
        </row>
        <row r="715">
          <cell r="D715" t="str">
            <v xml:space="preserve">  C.281.            </v>
          </cell>
          <cell r="E715" t="str">
            <v>CP1457</v>
          </cell>
          <cell r="F715" t="str">
            <v>9.4.</v>
          </cell>
          <cell r="G715" t="str">
            <v xml:space="preserve">Válvula de esfera em prolipropileno roscável Ø 2  </v>
          </cell>
          <cell r="H715" t="str">
            <v xml:space="preserve">un    </v>
          </cell>
          <cell r="I715">
            <v>4</v>
          </cell>
          <cell r="J715">
            <v>466.93</v>
          </cell>
          <cell r="K715">
            <v>391.58</v>
          </cell>
          <cell r="L715">
            <v>1867.72</v>
          </cell>
        </row>
        <row r="716">
          <cell r="D716" t="str">
            <v xml:space="preserve">  C.282.            </v>
          </cell>
          <cell r="E716" t="str">
            <v>CP2021</v>
          </cell>
          <cell r="F716" t="str">
            <v>9.5.</v>
          </cell>
          <cell r="G716" t="str">
            <v xml:space="preserve">Adaptador macho/fêmea em latão ø 1/2 x 1/4  </v>
          </cell>
          <cell r="H716" t="str">
            <v xml:space="preserve">un    </v>
          </cell>
          <cell r="I716">
            <v>7</v>
          </cell>
          <cell r="J716">
            <v>13.69</v>
          </cell>
          <cell r="K716">
            <v>11.48</v>
          </cell>
          <cell r="L716">
            <v>95.83</v>
          </cell>
        </row>
        <row r="717">
          <cell r="D717" t="str">
            <v xml:space="preserve">  C.283.            </v>
          </cell>
          <cell r="E717" t="str">
            <v>CP0628</v>
          </cell>
          <cell r="F717" t="str">
            <v>9.6.</v>
          </cell>
          <cell r="G717" t="str">
            <v xml:space="preserve">Conector macho em latão ø 3/8 x 1/4  </v>
          </cell>
          <cell r="H717" t="str">
            <v xml:space="preserve">un    </v>
          </cell>
          <cell r="I717">
            <v>7</v>
          </cell>
          <cell r="J717">
            <v>24.92</v>
          </cell>
          <cell r="K717">
            <v>20.92</v>
          </cell>
          <cell r="L717">
            <v>174.44</v>
          </cell>
        </row>
        <row r="718">
          <cell r="D718" t="str">
            <v xml:space="preserve">  C.284.            </v>
          </cell>
          <cell r="E718" t="str">
            <v>CP2005</v>
          </cell>
          <cell r="F718" t="str">
            <v>9.7.</v>
          </cell>
          <cell r="G718" t="str">
            <v xml:space="preserve">Tubo de nylon preto ø 3/8  </v>
          </cell>
          <cell r="H718" t="str">
            <v xml:space="preserve">m     </v>
          </cell>
          <cell r="I718">
            <v>2</v>
          </cell>
          <cell r="J718">
            <v>13.55</v>
          </cell>
          <cell r="K718">
            <v>17.350000000000001</v>
          </cell>
          <cell r="L718">
            <v>27.1</v>
          </cell>
        </row>
        <row r="719">
          <cell r="D719" t="str">
            <v xml:space="preserve">  C.285.            </v>
          </cell>
          <cell r="E719" t="str">
            <v>CP1504</v>
          </cell>
          <cell r="F719" t="str">
            <v>9.8.</v>
          </cell>
          <cell r="G719" t="str">
            <v xml:space="preserve">Válvula de retenção, tipo esfera soldável DN 40  </v>
          </cell>
          <cell r="H719" t="str">
            <v xml:space="preserve">un    </v>
          </cell>
          <cell r="I719">
            <v>3</v>
          </cell>
          <cell r="J719">
            <v>3109.69</v>
          </cell>
          <cell r="K719">
            <v>4442.41</v>
          </cell>
          <cell r="L719">
            <v>9329.07</v>
          </cell>
        </row>
        <row r="720">
          <cell r="D720" t="str">
            <v xml:space="preserve">  C.286.            </v>
          </cell>
          <cell r="E720" t="str">
            <v>CP1523</v>
          </cell>
          <cell r="F720" t="str">
            <v>9.9.</v>
          </cell>
          <cell r="G720" t="str">
            <v xml:space="preserve">Válvula de isolação para cilindro de cloro com  grampo YOKE, conexões ø 3/4, haste em monel  </v>
          </cell>
          <cell r="H720" t="str">
            <v xml:space="preserve">un    </v>
          </cell>
          <cell r="I720">
            <v>12</v>
          </cell>
          <cell r="J720">
            <v>3114.55</v>
          </cell>
          <cell r="K720">
            <v>4449.3500000000004</v>
          </cell>
          <cell r="L720">
            <v>37374.6</v>
          </cell>
        </row>
        <row r="721">
          <cell r="D721" t="str">
            <v xml:space="preserve">  C.287.            </v>
          </cell>
          <cell r="E721" t="str">
            <v>CP1596</v>
          </cell>
          <cell r="F721" t="str">
            <v>9.10.</v>
          </cell>
          <cell r="G721" t="str">
            <v xml:space="preserve">Conector flexível ø 3/8, em cobre cadmiado, L=1829mm, conexões ø 3/4 com gaxeta de chumbo  </v>
          </cell>
          <cell r="H721" t="str">
            <v xml:space="preserve">un    </v>
          </cell>
          <cell r="I721">
            <v>12</v>
          </cell>
          <cell r="J721">
            <v>3119.41</v>
          </cell>
          <cell r="K721">
            <v>4456.3</v>
          </cell>
          <cell r="L721">
            <v>37432.92</v>
          </cell>
        </row>
        <row r="722">
          <cell r="D722" t="str">
            <v xml:space="preserve">  C.288.            </v>
          </cell>
          <cell r="E722" t="str">
            <v>CP3000</v>
          </cell>
          <cell r="F722" t="str">
            <v>9.11.</v>
          </cell>
          <cell r="G722" t="str">
            <v xml:space="preserve">Válvula Header para cloro, montagem em manifold, ø 3/4 haste em monel, assento em teflon  </v>
          </cell>
          <cell r="H722" t="str">
            <v xml:space="preserve">un    </v>
          </cell>
          <cell r="I722">
            <v>12</v>
          </cell>
          <cell r="J722">
            <v>317.87</v>
          </cell>
          <cell r="K722">
            <v>406.99</v>
          </cell>
          <cell r="L722">
            <v>3814.44</v>
          </cell>
        </row>
        <row r="723">
          <cell r="D723" t="str">
            <v xml:space="preserve">  C.289.            </v>
          </cell>
          <cell r="E723" t="str">
            <v>CP1263</v>
          </cell>
          <cell r="F723" t="str">
            <v>9.12.</v>
          </cell>
          <cell r="G723" t="str">
            <v xml:space="preserve">Switchover modular automático, montagem em parede, tipo vácuo, 4kg/h  </v>
          </cell>
          <cell r="H723" t="str">
            <v xml:space="preserve">un    </v>
          </cell>
          <cell r="I723">
            <v>1</v>
          </cell>
          <cell r="J723">
            <v>56979.22</v>
          </cell>
          <cell r="K723">
            <v>81398.880000000005</v>
          </cell>
          <cell r="L723">
            <v>56979.22</v>
          </cell>
        </row>
        <row r="724">
          <cell r="D724" t="str">
            <v xml:space="preserve">  C.290.            </v>
          </cell>
          <cell r="E724" t="str">
            <v>CP1442</v>
          </cell>
          <cell r="F724" t="str">
            <v>9.13.</v>
          </cell>
          <cell r="G724" t="str">
            <v xml:space="preserve">Pressostato, pressão estática classe 1000 psi, alcance de 0 - 250 psi, conexão com diâmetro de 3/4  </v>
          </cell>
          <cell r="H724" t="str">
            <v xml:space="preserve">un    </v>
          </cell>
          <cell r="I724">
            <v>2</v>
          </cell>
          <cell r="J724">
            <v>2936.63</v>
          </cell>
          <cell r="K724">
            <v>4195.18</v>
          </cell>
          <cell r="L724">
            <v>5873.26</v>
          </cell>
        </row>
        <row r="725">
          <cell r="D725" t="str">
            <v xml:space="preserve">  C.291.            </v>
          </cell>
          <cell r="E725" t="str">
            <v>CP1304</v>
          </cell>
          <cell r="F725" t="str">
            <v>9.14.</v>
          </cell>
          <cell r="G725" t="str">
            <v xml:space="preserve">Regulador de vácuo, remoto para cloro gás, capacidade máxima de 90 kg/dia  </v>
          </cell>
          <cell r="H725" t="str">
            <v xml:space="preserve">un    </v>
          </cell>
          <cell r="I725">
            <v>2</v>
          </cell>
          <cell r="J725">
            <v>8628.6299999999992</v>
          </cell>
          <cell r="K725">
            <v>9732.07</v>
          </cell>
          <cell r="L725">
            <v>17257.259999999998</v>
          </cell>
        </row>
        <row r="726">
          <cell r="D726" t="str">
            <v xml:space="preserve">  C.292.            </v>
          </cell>
          <cell r="E726" t="str">
            <v>CP1370</v>
          </cell>
          <cell r="F726" t="str">
            <v>9.15.</v>
          </cell>
          <cell r="G726" t="str">
            <v xml:space="preserve">Filtro para linha de cloro gás, corpo em ferro fundido, pressão de trabalho 60 lb /pol2, ø 1  </v>
          </cell>
          <cell r="H726" t="str">
            <v xml:space="preserve">un    </v>
          </cell>
          <cell r="I726">
            <v>2</v>
          </cell>
          <cell r="J726">
            <v>4401.43</v>
          </cell>
          <cell r="K726">
            <v>5635.3</v>
          </cell>
          <cell r="L726">
            <v>8802.86</v>
          </cell>
        </row>
        <row r="727">
          <cell r="D727" t="str">
            <v xml:space="preserve">  C.293.            </v>
          </cell>
          <cell r="E727" t="str">
            <v>CP1462</v>
          </cell>
          <cell r="F727" t="str">
            <v>9.16.</v>
          </cell>
          <cell r="G727" t="str">
            <v xml:space="preserve">Manômetro p/ gás cloro c/ rosca ø 3/4  </v>
          </cell>
          <cell r="H727" t="str">
            <v xml:space="preserve">un    </v>
          </cell>
          <cell r="I727">
            <v>2</v>
          </cell>
          <cell r="J727">
            <v>2936.63</v>
          </cell>
          <cell r="K727">
            <v>4195.18</v>
          </cell>
          <cell r="L727">
            <v>5873.26</v>
          </cell>
        </row>
        <row r="728">
          <cell r="D728" t="str">
            <v xml:space="preserve">  C.294.            </v>
          </cell>
          <cell r="E728" t="str">
            <v>CP1376</v>
          </cell>
          <cell r="F728" t="str">
            <v>9.17.</v>
          </cell>
          <cell r="G728" t="str">
            <v xml:space="preserve">Válvula globo c/ rosca p/ gás cloro ø 1  </v>
          </cell>
          <cell r="H728" t="str">
            <v xml:space="preserve">un    </v>
          </cell>
          <cell r="I728">
            <v>10</v>
          </cell>
          <cell r="J728">
            <v>2535.33</v>
          </cell>
          <cell r="K728">
            <v>2629.81</v>
          </cell>
          <cell r="L728">
            <v>25353.3</v>
          </cell>
        </row>
        <row r="729">
          <cell r="D729" t="str">
            <v xml:space="preserve">  C.295.            </v>
          </cell>
          <cell r="E729" t="str">
            <v xml:space="preserve">      </v>
          </cell>
          <cell r="F729" t="str">
            <v>10.</v>
          </cell>
          <cell r="G729" t="str">
            <v xml:space="preserve">Montagem de Equipamentos, Válvulas e Miscelâneas Diversas para Instalações de Processo  </v>
          </cell>
          <cell r="H729" t="str">
            <v xml:space="preserve">      </v>
          </cell>
          <cell r="I729">
            <v>0</v>
          </cell>
          <cell r="J729">
            <v>0</v>
          </cell>
          <cell r="K729">
            <v>0</v>
          </cell>
          <cell r="L729">
            <v>0</v>
          </cell>
        </row>
        <row r="730">
          <cell r="D730" t="str">
            <v xml:space="preserve">  C.296.            </v>
          </cell>
          <cell r="E730" t="str">
            <v xml:space="preserve">      </v>
          </cell>
          <cell r="F730" t="str">
            <v>10.1.</v>
          </cell>
          <cell r="G730" t="str">
            <v xml:space="preserve">Válvulas de esfera em polipropileno soldáveis, acionamento manual  </v>
          </cell>
          <cell r="H730" t="str">
            <v xml:space="preserve">      </v>
          </cell>
          <cell r="I730">
            <v>0</v>
          </cell>
          <cell r="J730">
            <v>0</v>
          </cell>
          <cell r="K730">
            <v>0</v>
          </cell>
          <cell r="L730">
            <v>0</v>
          </cell>
        </row>
        <row r="731">
          <cell r="D731" t="str">
            <v xml:space="preserve">  C.297.            </v>
          </cell>
          <cell r="E731" t="str">
            <v>CP0467</v>
          </cell>
          <cell r="F731" t="str">
            <v>10.1.1.</v>
          </cell>
          <cell r="G731" t="str">
            <v xml:space="preserve">Válvulas de esfera em polipropileno soldáveis, acionamento manual DN 85  </v>
          </cell>
          <cell r="H731" t="str">
            <v xml:space="preserve">un    </v>
          </cell>
          <cell r="I731">
            <v>6</v>
          </cell>
          <cell r="J731">
            <v>63.16</v>
          </cell>
          <cell r="K731">
            <v>52.77</v>
          </cell>
          <cell r="L731">
            <v>378.96</v>
          </cell>
        </row>
        <row r="732">
          <cell r="D732" t="str">
            <v xml:space="preserve">  C.298.            </v>
          </cell>
          <cell r="E732" t="str">
            <v>CP0453</v>
          </cell>
          <cell r="F732" t="str">
            <v>10.1.2.</v>
          </cell>
          <cell r="G732" t="str">
            <v xml:space="preserve">Válvulas de esfera em polipropileno soldáveis, acionamento manual DN 60  </v>
          </cell>
          <cell r="H732" t="str">
            <v xml:space="preserve">un    </v>
          </cell>
          <cell r="I732">
            <v>6</v>
          </cell>
          <cell r="J732">
            <v>20.079999999999998</v>
          </cell>
          <cell r="K732">
            <v>52.77</v>
          </cell>
          <cell r="L732">
            <v>120.48</v>
          </cell>
        </row>
        <row r="733">
          <cell r="D733" t="str">
            <v xml:space="preserve">  C.299.            </v>
          </cell>
          <cell r="E733" t="str">
            <v>CP0435</v>
          </cell>
          <cell r="F733" t="str">
            <v>10.1.3.</v>
          </cell>
          <cell r="G733" t="str">
            <v xml:space="preserve">Válvulas de esfera em polipropileno soldáveis, acionamento manual DN 50  </v>
          </cell>
          <cell r="H733" t="str">
            <v xml:space="preserve">un    </v>
          </cell>
          <cell r="I733">
            <v>2</v>
          </cell>
          <cell r="J733">
            <v>9.81</v>
          </cell>
          <cell r="K733">
            <v>52.77</v>
          </cell>
          <cell r="L733">
            <v>19.62</v>
          </cell>
        </row>
        <row r="734">
          <cell r="D734" t="str">
            <v xml:space="preserve">  C.300.            </v>
          </cell>
          <cell r="E734" t="str">
            <v>CP0435</v>
          </cell>
          <cell r="F734" t="str">
            <v>10.1.4.</v>
          </cell>
          <cell r="G734" t="str">
            <v xml:space="preserve">Válvulas de esfera em polipropileno soldáveis, acionamento manual DN 40  </v>
          </cell>
          <cell r="H734" t="str">
            <v xml:space="preserve">un    </v>
          </cell>
          <cell r="I734">
            <v>3</v>
          </cell>
          <cell r="J734">
            <v>9.81</v>
          </cell>
          <cell r="K734">
            <v>44.83</v>
          </cell>
          <cell r="L734">
            <v>29.43</v>
          </cell>
        </row>
        <row r="735">
          <cell r="D735" t="str">
            <v xml:space="preserve">  C.301.            </v>
          </cell>
          <cell r="E735" t="str">
            <v>CP0458</v>
          </cell>
          <cell r="F735" t="str">
            <v>10.1.5.</v>
          </cell>
          <cell r="G735" t="str">
            <v xml:space="preserve">Válvulas de esfera em polipropileno soldáveis, acionamento manual DN 32  </v>
          </cell>
          <cell r="H735" t="str">
            <v xml:space="preserve">un    </v>
          </cell>
          <cell r="I735">
            <v>2</v>
          </cell>
          <cell r="J735">
            <v>19.32</v>
          </cell>
          <cell r="K735">
            <v>44.83</v>
          </cell>
          <cell r="L735">
            <v>38.64</v>
          </cell>
        </row>
        <row r="736">
          <cell r="D736" t="str">
            <v xml:space="preserve">  C.302.            </v>
          </cell>
          <cell r="E736" t="str">
            <v xml:space="preserve">      </v>
          </cell>
          <cell r="F736" t="str">
            <v>10.2.</v>
          </cell>
          <cell r="G736" t="str">
            <v xml:space="preserve">Válvula de esfera em prolipropileno, soldáveis, com acionamento pneumático, dotada de solenoide 220 VCA, normalmente fechada  </v>
          </cell>
          <cell r="H736" t="str">
            <v xml:space="preserve">      </v>
          </cell>
          <cell r="I736">
            <v>0</v>
          </cell>
          <cell r="J736">
            <v>0</v>
          </cell>
          <cell r="K736">
            <v>0</v>
          </cell>
          <cell r="L736">
            <v>0</v>
          </cell>
        </row>
        <row r="737">
          <cell r="D737" t="str">
            <v xml:space="preserve">  C.303.            </v>
          </cell>
          <cell r="E737" t="str">
            <v>CP0456</v>
          </cell>
          <cell r="F737" t="str">
            <v>10.2.1.</v>
          </cell>
          <cell r="G737" t="str">
            <v xml:space="preserve">Válvula de esfera em prolipropileno, soldáveis, com acionamento pneumático, dotada de solenoide 220 VCA, normalmente fechada DN 85  </v>
          </cell>
          <cell r="H737" t="str">
            <v xml:space="preserve">un    </v>
          </cell>
          <cell r="I737">
            <v>5</v>
          </cell>
          <cell r="J737">
            <v>152.30000000000001</v>
          </cell>
          <cell r="K737">
            <v>127.61</v>
          </cell>
          <cell r="L737">
            <v>761.5</v>
          </cell>
        </row>
        <row r="738">
          <cell r="D738" t="str">
            <v xml:space="preserve">  C.304.            </v>
          </cell>
          <cell r="E738" t="str">
            <v>CP0454</v>
          </cell>
          <cell r="F738" t="str">
            <v>10.2.2.</v>
          </cell>
          <cell r="G738" t="str">
            <v xml:space="preserve">Válvula de esfera em prolipropileno, soldáveis, com acionamento pneumático, dotada de solenoide 220 VCA, normalmente fechada DN 40  </v>
          </cell>
          <cell r="H738" t="str">
            <v xml:space="preserve">un    </v>
          </cell>
          <cell r="I738">
            <v>2</v>
          </cell>
          <cell r="J738">
            <v>77.459999999999994</v>
          </cell>
          <cell r="K738">
            <v>127.61</v>
          </cell>
          <cell r="L738">
            <v>154.91999999999999</v>
          </cell>
        </row>
        <row r="739">
          <cell r="D739" t="str">
            <v xml:space="preserve">  C.305.            </v>
          </cell>
          <cell r="E739" t="str">
            <v xml:space="preserve">      </v>
          </cell>
          <cell r="F739" t="str">
            <v>10.3.</v>
          </cell>
          <cell r="G739" t="str">
            <v xml:space="preserve">Válvula de esfera em bronze roscável, acionamento manual  </v>
          </cell>
          <cell r="H739" t="str">
            <v xml:space="preserve">      </v>
          </cell>
          <cell r="I739">
            <v>0</v>
          </cell>
          <cell r="J739">
            <v>0</v>
          </cell>
          <cell r="K739">
            <v>0</v>
          </cell>
          <cell r="L739">
            <v>0</v>
          </cell>
        </row>
        <row r="740">
          <cell r="D740" t="str">
            <v xml:space="preserve">  C.306.            </v>
          </cell>
          <cell r="E740" t="str">
            <v>CP0376</v>
          </cell>
          <cell r="F740" t="str">
            <v>10.3.1.</v>
          </cell>
          <cell r="G740" t="str">
            <v xml:space="preserve">Válvula de esfera em bronze roscável, acionamento manual ø 1/2  </v>
          </cell>
          <cell r="H740" t="str">
            <v xml:space="preserve">un    </v>
          </cell>
          <cell r="I740">
            <v>7</v>
          </cell>
          <cell r="J740">
            <v>18.22</v>
          </cell>
          <cell r="K740">
            <v>15.29</v>
          </cell>
          <cell r="L740">
            <v>127.54</v>
          </cell>
        </row>
        <row r="741">
          <cell r="D741" t="str">
            <v xml:space="preserve">  C.307.            </v>
          </cell>
          <cell r="E741" t="str">
            <v xml:space="preserve">      </v>
          </cell>
          <cell r="F741" t="str">
            <v>10.4.</v>
          </cell>
          <cell r="G741" t="str">
            <v xml:space="preserve">Válvula de esfera em prolipropileno roscável  </v>
          </cell>
          <cell r="H741" t="str">
            <v xml:space="preserve">      </v>
          </cell>
          <cell r="I741">
            <v>0</v>
          </cell>
          <cell r="J741">
            <v>0</v>
          </cell>
          <cell r="K741">
            <v>0</v>
          </cell>
          <cell r="L741">
            <v>0</v>
          </cell>
        </row>
        <row r="742">
          <cell r="D742" t="str">
            <v xml:space="preserve">  C.308.            </v>
          </cell>
          <cell r="E742" t="str">
            <v>CP0435</v>
          </cell>
          <cell r="F742" t="str">
            <v>10.4.1.</v>
          </cell>
          <cell r="G742" t="str">
            <v xml:space="preserve">Válvula de esfera em prolipropileno roscável ø 2  </v>
          </cell>
          <cell r="H742" t="str">
            <v xml:space="preserve">un    </v>
          </cell>
          <cell r="I742">
            <v>4</v>
          </cell>
          <cell r="J742">
            <v>9.81</v>
          </cell>
          <cell r="K742">
            <v>53.8</v>
          </cell>
          <cell r="L742">
            <v>39.24</v>
          </cell>
        </row>
        <row r="743">
          <cell r="D743" t="str">
            <v xml:space="preserve">  C.309.            </v>
          </cell>
          <cell r="E743" t="str">
            <v>CP0400</v>
          </cell>
          <cell r="F743" t="str">
            <v>10.5.</v>
          </cell>
          <cell r="G743" t="str">
            <v xml:space="preserve">Adaptador macho/fêmea em latão ø 1/2 x 1/4  </v>
          </cell>
          <cell r="H743" t="str">
            <v xml:space="preserve">un    </v>
          </cell>
          <cell r="I743">
            <v>7</v>
          </cell>
          <cell r="J743">
            <v>5.51</v>
          </cell>
          <cell r="K743">
            <v>4.6100000000000003</v>
          </cell>
          <cell r="L743">
            <v>38.57</v>
          </cell>
        </row>
        <row r="744">
          <cell r="D744" t="str">
            <v xml:space="preserve">  C.310.            </v>
          </cell>
          <cell r="E744" t="str">
            <v>CP0400</v>
          </cell>
          <cell r="F744" t="str">
            <v>10.6.</v>
          </cell>
          <cell r="G744" t="str">
            <v xml:space="preserve">Conector macho em latão ø 3/8 x 1/4  </v>
          </cell>
          <cell r="H744" t="str">
            <v xml:space="preserve">un    </v>
          </cell>
          <cell r="I744">
            <v>7</v>
          </cell>
          <cell r="J744">
            <v>5.51</v>
          </cell>
          <cell r="K744">
            <v>5.78</v>
          </cell>
          <cell r="L744">
            <v>38.57</v>
          </cell>
        </row>
        <row r="745">
          <cell r="D745" t="str">
            <v xml:space="preserve">  C.311.            </v>
          </cell>
          <cell r="E745" t="str">
            <v>CP0396</v>
          </cell>
          <cell r="F745" t="str">
            <v>10.7.</v>
          </cell>
          <cell r="G745" t="str">
            <v xml:space="preserve">Tubo de nylon preto ø 3/8  </v>
          </cell>
          <cell r="H745" t="str">
            <v xml:space="preserve">m     </v>
          </cell>
          <cell r="I745">
            <v>2</v>
          </cell>
          <cell r="J745">
            <v>7.06</v>
          </cell>
          <cell r="K745">
            <v>6.16</v>
          </cell>
          <cell r="L745">
            <v>14.12</v>
          </cell>
        </row>
        <row r="746">
          <cell r="D746" t="str">
            <v xml:space="preserve">  C.312.            </v>
          </cell>
          <cell r="E746" t="str">
            <v>CP0382</v>
          </cell>
          <cell r="F746" t="str">
            <v>10.8.</v>
          </cell>
          <cell r="G746" t="str">
            <v xml:space="preserve">Válvula de retenção tipo esfera soldável DN 40  </v>
          </cell>
          <cell r="H746" t="str">
            <v xml:space="preserve">un    </v>
          </cell>
          <cell r="I746">
            <v>3</v>
          </cell>
          <cell r="J746">
            <v>88.32</v>
          </cell>
          <cell r="K746">
            <v>789.33</v>
          </cell>
          <cell r="L746">
            <v>264.95999999999998</v>
          </cell>
        </row>
        <row r="747">
          <cell r="D747" t="str">
            <v xml:space="preserve">  C.313.            </v>
          </cell>
          <cell r="E747" t="str">
            <v>CP0382</v>
          </cell>
          <cell r="F747" t="str">
            <v>10.9.</v>
          </cell>
          <cell r="G747" t="str">
            <v xml:space="preserve">Válvula de isolação para cilindro de cloro com  grampo YOKE, conexões ø 3/4, haste em monel  </v>
          </cell>
          <cell r="H747" t="str">
            <v xml:space="preserve">un    </v>
          </cell>
          <cell r="I747">
            <v>12</v>
          </cell>
          <cell r="J747">
            <v>88.32</v>
          </cell>
          <cell r="K747">
            <v>126.17</v>
          </cell>
          <cell r="L747">
            <v>1059.8399999999999</v>
          </cell>
        </row>
        <row r="748">
          <cell r="D748" t="str">
            <v xml:space="preserve">  C.314.            </v>
          </cell>
          <cell r="E748" t="str">
            <v>CP4606</v>
          </cell>
          <cell r="F748" t="str">
            <v>10.10.</v>
          </cell>
          <cell r="G748" t="str">
            <v xml:space="preserve">Conector flexível L ø 3/8, em cobre cadmiado, L=1829mm, conexões ø 3/4 com gaxeta de chumbo  </v>
          </cell>
          <cell r="H748" t="str">
            <v xml:space="preserve">un    </v>
          </cell>
          <cell r="I748">
            <v>12</v>
          </cell>
          <cell r="J748">
            <v>36.04</v>
          </cell>
          <cell r="K748">
            <v>30.05</v>
          </cell>
          <cell r="L748">
            <v>432.48</v>
          </cell>
        </row>
        <row r="749">
          <cell r="D749" t="str">
            <v xml:space="preserve">  C.315.            </v>
          </cell>
          <cell r="E749" t="str">
            <v>CP4612</v>
          </cell>
          <cell r="F749" t="str">
            <v>10.11.</v>
          </cell>
          <cell r="G749" t="str">
            <v xml:space="preserve">Válvula Header para cloro, montagem em manifold, ø 3/4 haste em monel, assento em teflon  </v>
          </cell>
          <cell r="H749" t="str">
            <v xml:space="preserve">un    </v>
          </cell>
          <cell r="I749">
            <v>12</v>
          </cell>
          <cell r="J749">
            <v>43.63</v>
          </cell>
          <cell r="K749">
            <v>36.56</v>
          </cell>
          <cell r="L749">
            <v>523.55999999999995</v>
          </cell>
        </row>
        <row r="750">
          <cell r="D750" t="str">
            <v xml:space="preserve">  C.316.            </v>
          </cell>
          <cell r="E750" t="str">
            <v>CP0381</v>
          </cell>
          <cell r="F750" t="str">
            <v>10.12.</v>
          </cell>
          <cell r="G750" t="str">
            <v xml:space="preserve">Switchover modular automático, montagem em parede, tipo vácuo, 4kg/h  </v>
          </cell>
          <cell r="H750" t="str">
            <v xml:space="preserve">un    </v>
          </cell>
          <cell r="I750">
            <v>1</v>
          </cell>
          <cell r="J750">
            <v>1083.73</v>
          </cell>
          <cell r="K750">
            <v>910.24</v>
          </cell>
          <cell r="L750">
            <v>1083.73</v>
          </cell>
        </row>
        <row r="751">
          <cell r="D751" t="str">
            <v xml:space="preserve">  C.317.            </v>
          </cell>
          <cell r="E751" t="str">
            <v>CP0374</v>
          </cell>
          <cell r="F751" t="str">
            <v>10.13.</v>
          </cell>
          <cell r="G751" t="str">
            <v xml:space="preserve">Pressostato, pressão estática classe 1000 psi, alcance de 0- 250 psi, conexão com diâmetro de 3/4  </v>
          </cell>
          <cell r="H751" t="str">
            <v xml:space="preserve">un    </v>
          </cell>
          <cell r="I751">
            <v>2</v>
          </cell>
          <cell r="J751">
            <v>123.52</v>
          </cell>
          <cell r="K751">
            <v>191.92</v>
          </cell>
          <cell r="L751">
            <v>247.04</v>
          </cell>
        </row>
        <row r="752">
          <cell r="D752" t="str">
            <v xml:space="preserve">  C.318.            </v>
          </cell>
          <cell r="E752" t="str">
            <v>CP0379</v>
          </cell>
          <cell r="F752" t="str">
            <v>10.14.</v>
          </cell>
          <cell r="G752" t="str">
            <v xml:space="preserve">Regulador de vácuo, remoto para cloro gás, capacidade máxima de 90 kg/dia  </v>
          </cell>
          <cell r="H752" t="str">
            <v xml:space="preserve">un    </v>
          </cell>
          <cell r="I752">
            <v>2</v>
          </cell>
          <cell r="J752">
            <v>469.88</v>
          </cell>
          <cell r="K752">
            <v>571.05999999999995</v>
          </cell>
          <cell r="L752">
            <v>939.76</v>
          </cell>
        </row>
        <row r="753">
          <cell r="D753" t="str">
            <v xml:space="preserve">  C.319.            </v>
          </cell>
          <cell r="E753" t="str">
            <v>CP0378</v>
          </cell>
          <cell r="F753" t="str">
            <v>10.15.</v>
          </cell>
          <cell r="G753" t="str">
            <v xml:space="preserve">Filtro para linha de cloro gás, corpo em ferro fundido, pressão de trabalho 60 lb /pol2, ø 1  </v>
          </cell>
          <cell r="H753" t="str">
            <v xml:space="preserve">un    </v>
          </cell>
          <cell r="I753">
            <v>2</v>
          </cell>
          <cell r="J753">
            <v>202.25</v>
          </cell>
          <cell r="K753">
            <v>169.87</v>
          </cell>
          <cell r="L753">
            <v>404.5</v>
          </cell>
        </row>
        <row r="754">
          <cell r="D754" t="str">
            <v xml:space="preserve">  C.320.            </v>
          </cell>
          <cell r="E754" t="str">
            <v>CP0374</v>
          </cell>
          <cell r="F754" t="str">
            <v>10.16.</v>
          </cell>
          <cell r="G754" t="str">
            <v xml:space="preserve">Manômetro p/ gás cloro c/ rosca ø 3/4  </v>
          </cell>
          <cell r="H754" t="str">
            <v xml:space="preserve">un    </v>
          </cell>
          <cell r="I754">
            <v>2</v>
          </cell>
          <cell r="J754">
            <v>123.52</v>
          </cell>
          <cell r="K754">
            <v>138.21</v>
          </cell>
          <cell r="L754">
            <v>247.04</v>
          </cell>
        </row>
        <row r="755">
          <cell r="D755" t="str">
            <v xml:space="preserve">  C.321.            </v>
          </cell>
          <cell r="E755" t="str">
            <v>CP0376</v>
          </cell>
          <cell r="F755" t="str">
            <v>10.17.</v>
          </cell>
          <cell r="G755" t="str">
            <v xml:space="preserve">Válvula globo c/ rosca p/ gás cloro ø 1  </v>
          </cell>
          <cell r="H755" t="str">
            <v xml:space="preserve">un    </v>
          </cell>
          <cell r="I755">
            <v>10</v>
          </cell>
          <cell r="J755">
            <v>18.22</v>
          </cell>
          <cell r="K755">
            <v>53.8</v>
          </cell>
          <cell r="L755">
            <v>182.2</v>
          </cell>
        </row>
        <row r="756">
          <cell r="D756" t="str">
            <v xml:space="preserve">  C.322.            </v>
          </cell>
          <cell r="E756" t="str">
            <v xml:space="preserve">      </v>
          </cell>
          <cell r="F756" t="str">
            <v>11.</v>
          </cell>
          <cell r="G756" t="str">
            <v xml:space="preserve">Obras Diversas  </v>
          </cell>
          <cell r="H756" t="str">
            <v xml:space="preserve">      </v>
          </cell>
          <cell r="I756">
            <v>0</v>
          </cell>
          <cell r="J756">
            <v>0</v>
          </cell>
          <cell r="K756">
            <v>0</v>
          </cell>
          <cell r="L756">
            <v>0</v>
          </cell>
        </row>
        <row r="757">
          <cell r="D757" t="str">
            <v xml:space="preserve">  C.323.            </v>
          </cell>
          <cell r="E757" t="str">
            <v xml:space="preserve">      </v>
          </cell>
          <cell r="F757" t="str">
            <v>11.1.</v>
          </cell>
          <cell r="G757" t="str">
            <v xml:space="preserve">Alvenaria em blocos de concreto:  </v>
          </cell>
          <cell r="H757" t="str">
            <v xml:space="preserve">      </v>
          </cell>
          <cell r="I757">
            <v>0</v>
          </cell>
          <cell r="J757">
            <v>0</v>
          </cell>
          <cell r="K757">
            <v>0</v>
          </cell>
          <cell r="L757">
            <v>0</v>
          </cell>
        </row>
        <row r="758">
          <cell r="D758" t="str">
            <v xml:space="preserve">  C.324.            </v>
          </cell>
          <cell r="E758" t="str">
            <v>CP0047</v>
          </cell>
          <cell r="F758" t="str">
            <v>11.1.1.</v>
          </cell>
          <cell r="G758" t="str">
            <v xml:space="preserve">Alvenaria em blocos de concreto: 40 x 20 x 20 cm, e = 20 cm  </v>
          </cell>
          <cell r="H758" t="str">
            <v xml:space="preserve">m²    </v>
          </cell>
          <cell r="I758">
            <v>498</v>
          </cell>
          <cell r="J758">
            <v>45.68</v>
          </cell>
          <cell r="K758">
            <v>50.25</v>
          </cell>
          <cell r="L758">
            <v>22748.639999999999</v>
          </cell>
        </row>
        <row r="759">
          <cell r="D759" t="str">
            <v xml:space="preserve">  C.325.            </v>
          </cell>
          <cell r="E759" t="str">
            <v>CP0049</v>
          </cell>
          <cell r="F759" t="str">
            <v>11.1.2.</v>
          </cell>
          <cell r="G759" t="str">
            <v xml:space="preserve">Alvenaria em blocos de concreto: 40 x 20 x 10 cm, e = 10 cm  </v>
          </cell>
          <cell r="H759" t="str">
            <v xml:space="preserve">m²    </v>
          </cell>
          <cell r="I759">
            <v>40</v>
          </cell>
          <cell r="J759">
            <v>33.6</v>
          </cell>
          <cell r="K759">
            <v>28.21</v>
          </cell>
          <cell r="L759">
            <v>1344</v>
          </cell>
        </row>
        <row r="760">
          <cell r="D760" t="str">
            <v xml:space="preserve">  C.326.            </v>
          </cell>
          <cell r="E760" t="str">
            <v>CP0205</v>
          </cell>
          <cell r="F760" t="str">
            <v>11.2.</v>
          </cell>
          <cell r="G760" t="str">
            <v xml:space="preserve">Chapisco com cimento AF-32 e areia traço 1:3  </v>
          </cell>
          <cell r="H760" t="str">
            <v xml:space="preserve">m²    </v>
          </cell>
          <cell r="I760">
            <v>1142</v>
          </cell>
          <cell r="J760">
            <v>3.1</v>
          </cell>
          <cell r="K760">
            <v>3.58</v>
          </cell>
          <cell r="L760">
            <v>3540.2</v>
          </cell>
        </row>
        <row r="761">
          <cell r="D761" t="str">
            <v xml:space="preserve">  C.327.            </v>
          </cell>
          <cell r="E761" t="str">
            <v>CP0968</v>
          </cell>
          <cell r="F761" t="str">
            <v>11.3.</v>
          </cell>
          <cell r="G761" t="str">
            <v xml:space="preserve">Emboço com argamassa de cimento e saibro, traço 1:6  </v>
          </cell>
          <cell r="H761" t="str">
            <v xml:space="preserve">m²    </v>
          </cell>
          <cell r="I761">
            <v>782</v>
          </cell>
          <cell r="J761">
            <v>11.33</v>
          </cell>
          <cell r="K761">
            <v>16.16</v>
          </cell>
          <cell r="L761">
            <v>8860.06</v>
          </cell>
        </row>
        <row r="762">
          <cell r="D762" t="str">
            <v xml:space="preserve">  C.328.            </v>
          </cell>
          <cell r="E762" t="str">
            <v>CP0962</v>
          </cell>
          <cell r="F762" t="str">
            <v>11.4.</v>
          </cell>
          <cell r="G762" t="str">
            <v xml:space="preserve">Reboco paulista  </v>
          </cell>
          <cell r="H762" t="str">
            <v xml:space="preserve">m²    </v>
          </cell>
          <cell r="I762">
            <v>1142</v>
          </cell>
          <cell r="J762">
            <v>14.51</v>
          </cell>
          <cell r="K762">
            <v>24.95</v>
          </cell>
          <cell r="L762">
            <v>16570.419999999998</v>
          </cell>
        </row>
        <row r="763">
          <cell r="D763" t="str">
            <v xml:space="preserve">  C.329.            </v>
          </cell>
          <cell r="E763" t="str">
            <v>CP0142</v>
          </cell>
          <cell r="F763" t="str">
            <v>11.6.</v>
          </cell>
          <cell r="G763" t="str">
            <v xml:space="preserve">Emassamento  </v>
          </cell>
          <cell r="H763" t="str">
            <v xml:space="preserve">m²    </v>
          </cell>
          <cell r="I763">
            <v>1258</v>
          </cell>
          <cell r="J763">
            <v>9.4700000000000006</v>
          </cell>
          <cell r="K763">
            <v>7.92</v>
          </cell>
          <cell r="L763">
            <v>11913.26</v>
          </cell>
        </row>
        <row r="764">
          <cell r="D764" t="str">
            <v xml:space="preserve">  C.330.            </v>
          </cell>
          <cell r="E764" t="str">
            <v xml:space="preserve">      </v>
          </cell>
          <cell r="F764" t="str">
            <v>11.7.</v>
          </cell>
          <cell r="G764" t="str">
            <v xml:space="preserve">Pinturas sem massa corrida  </v>
          </cell>
          <cell r="H764" t="str">
            <v xml:space="preserve">      </v>
          </cell>
          <cell r="I764">
            <v>0</v>
          </cell>
          <cell r="J764">
            <v>0</v>
          </cell>
          <cell r="K764">
            <v>0</v>
          </cell>
          <cell r="L764">
            <v>0</v>
          </cell>
        </row>
        <row r="765">
          <cell r="D765" t="str">
            <v xml:space="preserve">  C.331.            </v>
          </cell>
          <cell r="E765" t="str">
            <v>CP0259</v>
          </cell>
          <cell r="F765" t="str">
            <v>11.7.2.</v>
          </cell>
          <cell r="G765" t="str">
            <v xml:space="preserve">Pintura epoxi cor branco gelo  </v>
          </cell>
          <cell r="H765" t="str">
            <v xml:space="preserve">m²    </v>
          </cell>
          <cell r="I765">
            <v>613</v>
          </cell>
          <cell r="J765">
            <v>15.9</v>
          </cell>
          <cell r="K765">
            <v>22.71</v>
          </cell>
          <cell r="L765">
            <v>9746.7000000000007</v>
          </cell>
        </row>
        <row r="766">
          <cell r="D766" t="str">
            <v xml:space="preserve">  C.332.            </v>
          </cell>
          <cell r="E766" t="str">
            <v>CP0337</v>
          </cell>
          <cell r="F766" t="str">
            <v>11.7.5.</v>
          </cell>
          <cell r="G766" t="str">
            <v xml:space="preserve">Pintura acrílica, cor branco gelo, da CORAL ou similar  </v>
          </cell>
          <cell r="H766" t="str">
            <v xml:space="preserve">m²    </v>
          </cell>
          <cell r="I766">
            <v>127</v>
          </cell>
          <cell r="J766">
            <v>9.2100000000000009</v>
          </cell>
          <cell r="K766">
            <v>18.940000000000001</v>
          </cell>
          <cell r="L766">
            <v>1169.67</v>
          </cell>
        </row>
        <row r="767">
          <cell r="D767" t="str">
            <v xml:space="preserve">  C.333.            </v>
          </cell>
          <cell r="E767" t="str">
            <v xml:space="preserve">      </v>
          </cell>
          <cell r="F767" t="str">
            <v>11.8.</v>
          </cell>
          <cell r="G767" t="str">
            <v xml:space="preserve">Revestimentos cerâmicos (paredes/pisos):  </v>
          </cell>
          <cell r="H767" t="str">
            <v xml:space="preserve">      </v>
          </cell>
          <cell r="I767">
            <v>0</v>
          </cell>
          <cell r="J767">
            <v>0</v>
          </cell>
          <cell r="K767">
            <v>0</v>
          </cell>
          <cell r="L767">
            <v>0</v>
          </cell>
        </row>
        <row r="768">
          <cell r="D768" t="str">
            <v xml:space="preserve">  C.334.            </v>
          </cell>
          <cell r="E768" t="str">
            <v>CP0124</v>
          </cell>
          <cell r="F768" t="str">
            <v>11.8.2.</v>
          </cell>
          <cell r="G768" t="str">
            <v xml:space="preserve">Cerâmica arquiteto gelo 10 x 10, da PORTOBELLO ou similar  </v>
          </cell>
          <cell r="H768" t="str">
            <v xml:space="preserve">m²    </v>
          </cell>
          <cell r="I768">
            <v>140</v>
          </cell>
          <cell r="J768">
            <v>50.74</v>
          </cell>
          <cell r="K768">
            <v>59.52</v>
          </cell>
          <cell r="L768">
            <v>7103.6</v>
          </cell>
        </row>
        <row r="769">
          <cell r="D769" t="str">
            <v xml:space="preserve">  C.335.            </v>
          </cell>
          <cell r="E769" t="str">
            <v>CP0108</v>
          </cell>
          <cell r="F769" t="str">
            <v>11.8.3.</v>
          </cell>
          <cell r="G769" t="str">
            <v xml:space="preserve">Cerâmica arquiteto azul escuro 10x10 da PORTOBELLO  </v>
          </cell>
          <cell r="H769" t="str">
            <v xml:space="preserve">m²    </v>
          </cell>
          <cell r="I769">
            <v>6</v>
          </cell>
          <cell r="J769">
            <v>58.83</v>
          </cell>
          <cell r="K769">
            <v>61.43</v>
          </cell>
          <cell r="L769">
            <v>352.98</v>
          </cell>
        </row>
        <row r="770">
          <cell r="D770" t="str">
            <v xml:space="preserve">  C.336.            </v>
          </cell>
          <cell r="E770" t="str">
            <v>CP0137</v>
          </cell>
          <cell r="F770" t="str">
            <v>11.8.4.</v>
          </cell>
          <cell r="G770" t="str">
            <v xml:space="preserve">Cerâmica laser cinza 30 x 30 da PORTOBELLO  </v>
          </cell>
          <cell r="H770" t="str">
            <v xml:space="preserve">m²    </v>
          </cell>
          <cell r="I770">
            <v>8</v>
          </cell>
          <cell r="J770">
            <v>65.16</v>
          </cell>
          <cell r="K770">
            <v>62.05</v>
          </cell>
          <cell r="L770">
            <v>521.28</v>
          </cell>
        </row>
        <row r="771">
          <cell r="D771" t="str">
            <v xml:space="preserve">  C.337.            </v>
          </cell>
          <cell r="E771" t="str">
            <v>CP1747</v>
          </cell>
          <cell r="F771" t="str">
            <v>11.8.5.</v>
          </cell>
          <cell r="G771" t="str">
            <v xml:space="preserve">Cerâmica antiderrapante gradino laser cinza 50 x 50 da PORTOBELLO ou similar  </v>
          </cell>
          <cell r="H771" t="str">
            <v xml:space="preserve">m²    </v>
          </cell>
          <cell r="I771">
            <v>99</v>
          </cell>
          <cell r="J771">
            <v>54.66</v>
          </cell>
          <cell r="K771">
            <v>45.55</v>
          </cell>
          <cell r="L771">
            <v>5411.34</v>
          </cell>
        </row>
        <row r="772">
          <cell r="D772" t="str">
            <v xml:space="preserve">  C.338.            </v>
          </cell>
          <cell r="E772" t="str">
            <v>CP0121</v>
          </cell>
          <cell r="F772" t="str">
            <v>11.8.6.</v>
          </cell>
          <cell r="G772" t="str">
            <v xml:space="preserve">Filete torelo gray da PORTOBELLO ou similar  </v>
          </cell>
          <cell r="H772" t="str">
            <v xml:space="preserve">m     </v>
          </cell>
          <cell r="I772">
            <v>2</v>
          </cell>
          <cell r="J772">
            <v>30.79</v>
          </cell>
          <cell r="K772">
            <v>25.66</v>
          </cell>
          <cell r="L772">
            <v>61.58</v>
          </cell>
        </row>
        <row r="773">
          <cell r="D773" t="str">
            <v xml:space="preserve">  C.339.            </v>
          </cell>
          <cell r="E773" t="str">
            <v>CP0140</v>
          </cell>
          <cell r="F773" t="str">
            <v>11.8.7.</v>
          </cell>
          <cell r="G773" t="str">
            <v xml:space="preserve">Cerâmica laser cinza da PORTOBELLO (30 x 8,0) cm para rodapé  </v>
          </cell>
          <cell r="H773" t="str">
            <v xml:space="preserve">m²    </v>
          </cell>
          <cell r="I773">
            <v>6</v>
          </cell>
          <cell r="J773">
            <v>33.479999999999997</v>
          </cell>
          <cell r="K773">
            <v>30.61</v>
          </cell>
          <cell r="L773">
            <v>200.88</v>
          </cell>
        </row>
        <row r="774">
          <cell r="D774" t="str">
            <v xml:space="preserve">  C.340.            </v>
          </cell>
          <cell r="E774" t="str">
            <v>CP0252</v>
          </cell>
          <cell r="F774" t="str">
            <v>11.8.8.</v>
          </cell>
          <cell r="G774" t="str">
            <v xml:space="preserve">Piso em korodur WH e = 8 mm acabamento MONTANA ou similar  </v>
          </cell>
          <cell r="H774" t="str">
            <v xml:space="preserve">m²    </v>
          </cell>
          <cell r="I774">
            <v>9</v>
          </cell>
          <cell r="J774">
            <v>71.290000000000006</v>
          </cell>
          <cell r="K774">
            <v>59.61</v>
          </cell>
          <cell r="L774">
            <v>641.61</v>
          </cell>
        </row>
        <row r="775">
          <cell r="D775" t="str">
            <v xml:space="preserve">  C.341.            </v>
          </cell>
          <cell r="E775" t="str">
            <v>CP0341</v>
          </cell>
          <cell r="F775" t="str">
            <v>11.8.9.</v>
          </cell>
          <cell r="G775" t="str">
            <v xml:space="preserve">Cerâmica arquiteto azul real BR 7,5 x 7,5 da PORTOBELLO ou similar  </v>
          </cell>
          <cell r="H775" t="str">
            <v xml:space="preserve">m²    </v>
          </cell>
          <cell r="I775">
            <v>143</v>
          </cell>
          <cell r="J775">
            <v>62.64</v>
          </cell>
          <cell r="K775">
            <v>69.14</v>
          </cell>
          <cell r="L775">
            <v>8957.52</v>
          </cell>
        </row>
        <row r="776">
          <cell r="D776" t="str">
            <v xml:space="preserve">  C.342.            </v>
          </cell>
          <cell r="E776" t="str">
            <v>CP0340</v>
          </cell>
          <cell r="F776" t="str">
            <v>11.8.10.</v>
          </cell>
          <cell r="G776" t="str">
            <v xml:space="preserve">Cerâmica arquiteto design bege médio 9,5 x 9,5 da PORTOBELLO ou similar  </v>
          </cell>
          <cell r="H776" t="str">
            <v xml:space="preserve">m²    </v>
          </cell>
          <cell r="I776">
            <v>338</v>
          </cell>
          <cell r="J776">
            <v>48.75</v>
          </cell>
          <cell r="K776">
            <v>65.239999999999995</v>
          </cell>
          <cell r="L776">
            <v>16477.5</v>
          </cell>
        </row>
        <row r="777">
          <cell r="D777" t="str">
            <v xml:space="preserve">  C.343.            </v>
          </cell>
          <cell r="E777" t="str">
            <v>CP0339</v>
          </cell>
          <cell r="F777" t="str">
            <v>11.8.11.</v>
          </cell>
          <cell r="G777" t="str">
            <v xml:space="preserve">Cerâmica prisma giallo 7,5 x 7,5 da PORTOBELLO ou similar  </v>
          </cell>
          <cell r="H777" t="str">
            <v xml:space="preserve">m²    </v>
          </cell>
          <cell r="I777">
            <v>155</v>
          </cell>
          <cell r="J777">
            <v>62.64</v>
          </cell>
          <cell r="K777">
            <v>70.02</v>
          </cell>
          <cell r="L777">
            <v>9709.2000000000007</v>
          </cell>
        </row>
        <row r="778">
          <cell r="D778" t="str">
            <v xml:space="preserve">  C.344.            </v>
          </cell>
          <cell r="E778" t="str">
            <v>CP0128</v>
          </cell>
          <cell r="F778" t="str">
            <v>11.9.</v>
          </cell>
          <cell r="G778" t="str">
            <v xml:space="preserve">Cimentado rústico e = 3 cm, com junta plástica  </v>
          </cell>
          <cell r="H778" t="str">
            <v xml:space="preserve">m²    </v>
          </cell>
          <cell r="I778">
            <v>328</v>
          </cell>
          <cell r="J778">
            <v>16.27</v>
          </cell>
          <cell r="K778">
            <v>13.82</v>
          </cell>
          <cell r="L778">
            <v>5336.56</v>
          </cell>
        </row>
        <row r="779">
          <cell r="D779" t="str">
            <v xml:space="preserve">  C.345.            </v>
          </cell>
          <cell r="E779" t="str">
            <v xml:space="preserve">      </v>
          </cell>
          <cell r="F779" t="str">
            <v>11.10.</v>
          </cell>
          <cell r="G779" t="str">
            <v xml:space="preserve">Esquadrias  </v>
          </cell>
          <cell r="H779" t="str">
            <v xml:space="preserve">      </v>
          </cell>
          <cell r="I779">
            <v>0</v>
          </cell>
          <cell r="J779">
            <v>0</v>
          </cell>
          <cell r="K779">
            <v>0</v>
          </cell>
          <cell r="L779">
            <v>0</v>
          </cell>
        </row>
        <row r="780">
          <cell r="D780" t="str">
            <v xml:space="preserve">  C.346.            </v>
          </cell>
          <cell r="E780" t="str">
            <v>CP0117</v>
          </cell>
          <cell r="F780" t="str">
            <v>11.10.1.</v>
          </cell>
          <cell r="G780" t="str">
            <v xml:space="preserve">Venezianas em alumínio anodizado preto, como-vent, inclusive acessórios, conforme projeto  </v>
          </cell>
          <cell r="H780" t="str">
            <v xml:space="preserve">m²    </v>
          </cell>
          <cell r="I780">
            <v>189</v>
          </cell>
          <cell r="J780">
            <v>503.71</v>
          </cell>
          <cell r="K780">
            <v>517.29999999999995</v>
          </cell>
          <cell r="L780">
            <v>95201.19</v>
          </cell>
        </row>
        <row r="781">
          <cell r="D781" t="str">
            <v xml:space="preserve">  C.347.            </v>
          </cell>
          <cell r="E781" t="str">
            <v>CP3001</v>
          </cell>
          <cell r="F781" t="str">
            <v>11.10.2.</v>
          </cell>
          <cell r="G781" t="str">
            <v xml:space="preserve">Janelas em alumínio anodizado preto, maxim-ar, inclusive acessórios, conforme projeto  </v>
          </cell>
          <cell r="H781" t="str">
            <v xml:space="preserve">m²    </v>
          </cell>
          <cell r="I781">
            <v>7</v>
          </cell>
          <cell r="J781">
            <v>361.22</v>
          </cell>
          <cell r="K781">
            <v>301.14999999999998</v>
          </cell>
          <cell r="L781">
            <v>2528.54</v>
          </cell>
        </row>
        <row r="782">
          <cell r="D782" t="str">
            <v xml:space="preserve">  C.348.            </v>
          </cell>
          <cell r="E782" t="str">
            <v>CP0109</v>
          </cell>
          <cell r="F782" t="str">
            <v>11.10.3.</v>
          </cell>
          <cell r="G782" t="str">
            <v xml:space="preserve">Porta em alumínio anodizado preto, em perfil, duplo C, inclusive acessórios, conforme projeto  </v>
          </cell>
          <cell r="H782" t="str">
            <v xml:space="preserve">m²    </v>
          </cell>
          <cell r="I782">
            <v>38</v>
          </cell>
          <cell r="J782">
            <v>378.14</v>
          </cell>
          <cell r="K782">
            <v>492.47</v>
          </cell>
          <cell r="L782">
            <v>14369.32</v>
          </cell>
        </row>
        <row r="783">
          <cell r="D783" t="str">
            <v xml:space="preserve">  C.349.            </v>
          </cell>
          <cell r="E783" t="str">
            <v>CP0322</v>
          </cell>
          <cell r="F783" t="str">
            <v>11.10.4.</v>
          </cell>
          <cell r="G783" t="str">
            <v xml:space="preserve">Porta prancheta 80 x 210, com pintura epoxí  </v>
          </cell>
          <cell r="H783" t="str">
            <v xml:space="preserve">un    </v>
          </cell>
          <cell r="I783">
            <v>1</v>
          </cell>
          <cell r="J783">
            <v>308.23</v>
          </cell>
          <cell r="K783">
            <v>258.39999999999998</v>
          </cell>
          <cell r="L783">
            <v>308.23</v>
          </cell>
        </row>
        <row r="784">
          <cell r="D784" t="str">
            <v xml:space="preserve">  C.350.            </v>
          </cell>
          <cell r="E784" t="str">
            <v>CP0324</v>
          </cell>
          <cell r="F784" t="str">
            <v>11.10.5.</v>
          </cell>
          <cell r="G784" t="str">
            <v xml:space="preserve">Porta prancheta 80 x 210, revestida com esmalte, inclusive marcos, alizares e ferragens  </v>
          </cell>
          <cell r="H784" t="str">
            <v xml:space="preserve">un    </v>
          </cell>
          <cell r="I784">
            <v>1</v>
          </cell>
          <cell r="J784">
            <v>406.91</v>
          </cell>
          <cell r="K784">
            <v>340.25</v>
          </cell>
          <cell r="L784">
            <v>406.91</v>
          </cell>
        </row>
        <row r="785">
          <cell r="D785" t="str">
            <v xml:space="preserve">  C.351.            </v>
          </cell>
          <cell r="E785" t="str">
            <v>CP0146</v>
          </cell>
          <cell r="F785" t="str">
            <v>11.10.6.</v>
          </cell>
          <cell r="G785" t="str">
            <v xml:space="preserve">Porta prancheta 80 x 210, com mola, revestida com  esmalte, inclusive marcos, alizares e ferragens  </v>
          </cell>
          <cell r="H785" t="str">
            <v xml:space="preserve">un    </v>
          </cell>
          <cell r="I785">
            <v>5</v>
          </cell>
          <cell r="J785">
            <v>631.55999999999995</v>
          </cell>
          <cell r="K785">
            <v>708.46</v>
          </cell>
          <cell r="L785">
            <v>3157.8</v>
          </cell>
        </row>
        <row r="786">
          <cell r="D786" t="str">
            <v xml:space="preserve">  C.352.            </v>
          </cell>
          <cell r="E786" t="str">
            <v>CP0123</v>
          </cell>
          <cell r="F786" t="str">
            <v>11.10.7.</v>
          </cell>
          <cell r="G786" t="str">
            <v xml:space="preserve">Porta prancheta 60 x 210, com mola, revestida com esmalte, inclusive marcos, alizares e ferragens  </v>
          </cell>
          <cell r="H786" t="str">
            <v xml:space="preserve">un    </v>
          </cell>
          <cell r="I786">
            <v>2</v>
          </cell>
          <cell r="J786">
            <v>631.55999999999995</v>
          </cell>
          <cell r="K786">
            <v>530.21</v>
          </cell>
          <cell r="L786">
            <v>1263.1199999999999</v>
          </cell>
        </row>
        <row r="787">
          <cell r="D787" t="str">
            <v xml:space="preserve">  C.353.            </v>
          </cell>
          <cell r="E787" t="str">
            <v xml:space="preserve">      </v>
          </cell>
          <cell r="F787" t="str">
            <v>11.11.</v>
          </cell>
          <cell r="G787" t="str">
            <v xml:space="preserve">Vidros  </v>
          </cell>
          <cell r="H787" t="str">
            <v xml:space="preserve">      </v>
          </cell>
          <cell r="I787">
            <v>0</v>
          </cell>
          <cell r="J787">
            <v>0</v>
          </cell>
          <cell r="K787">
            <v>0</v>
          </cell>
          <cell r="L787">
            <v>0</v>
          </cell>
        </row>
        <row r="788">
          <cell r="D788" t="str">
            <v xml:space="preserve">  C.354.            </v>
          </cell>
          <cell r="E788" t="str">
            <v>CP0136</v>
          </cell>
          <cell r="F788" t="str">
            <v>11.11.1.</v>
          </cell>
          <cell r="G788" t="str">
            <v xml:space="preserve">Temperado fumê espessura = 4 mm  </v>
          </cell>
          <cell r="H788" t="str">
            <v xml:space="preserve">m²    </v>
          </cell>
          <cell r="I788">
            <v>8</v>
          </cell>
          <cell r="J788">
            <v>189.24</v>
          </cell>
          <cell r="K788">
            <v>158.84</v>
          </cell>
          <cell r="L788">
            <v>1513.92</v>
          </cell>
        </row>
        <row r="789">
          <cell r="D789" t="str">
            <v xml:space="preserve">  C.355.            </v>
          </cell>
          <cell r="E789" t="str">
            <v xml:space="preserve">      </v>
          </cell>
          <cell r="F789" t="str">
            <v>11.12.</v>
          </cell>
          <cell r="G789" t="str">
            <v xml:space="preserve">Diversos  </v>
          </cell>
          <cell r="H789" t="str">
            <v xml:space="preserve">      </v>
          </cell>
          <cell r="I789">
            <v>0</v>
          </cell>
          <cell r="J789">
            <v>0</v>
          </cell>
          <cell r="K789">
            <v>0</v>
          </cell>
          <cell r="L789">
            <v>0</v>
          </cell>
        </row>
        <row r="790">
          <cell r="D790" t="str">
            <v xml:space="preserve">  C.356.            </v>
          </cell>
          <cell r="E790" t="str">
            <v>CP0295</v>
          </cell>
          <cell r="F790" t="str">
            <v>11.12.2.</v>
          </cell>
          <cell r="G790" t="str">
            <v xml:space="preserve">Soleira em granito cinza corumbá, e = 3cm  </v>
          </cell>
          <cell r="H790" t="str">
            <v xml:space="preserve">m     </v>
          </cell>
          <cell r="I790">
            <v>2</v>
          </cell>
          <cell r="J790">
            <v>65.680000000000007</v>
          </cell>
          <cell r="K790">
            <v>93.83</v>
          </cell>
          <cell r="L790">
            <v>131.36000000000001</v>
          </cell>
        </row>
        <row r="791">
          <cell r="D791" t="str">
            <v xml:space="preserve">  C.357.            </v>
          </cell>
          <cell r="E791" t="str">
            <v>CP0298</v>
          </cell>
          <cell r="F791" t="str">
            <v>11.12.3.</v>
          </cell>
          <cell r="G791" t="str">
            <v xml:space="preserve">Bancada e rodabancada em granito cinza andorinha, e = 2 cm  </v>
          </cell>
          <cell r="H791" t="str">
            <v xml:space="preserve">m²    </v>
          </cell>
          <cell r="I791">
            <v>3</v>
          </cell>
          <cell r="J791">
            <v>227.08</v>
          </cell>
          <cell r="K791">
            <v>259.23</v>
          </cell>
          <cell r="L791">
            <v>681.24</v>
          </cell>
        </row>
        <row r="792">
          <cell r="D792" t="str">
            <v xml:space="preserve">  C.358.            </v>
          </cell>
          <cell r="E792" t="str">
            <v>CP0135</v>
          </cell>
          <cell r="F792" t="str">
            <v>11.12.4.</v>
          </cell>
          <cell r="G792" t="str">
            <v xml:space="preserve">Guarda corpo para escada inclusive acessórios conforme projeto  </v>
          </cell>
          <cell r="H792" t="str">
            <v xml:space="preserve">m     </v>
          </cell>
          <cell r="I792">
            <v>77</v>
          </cell>
          <cell r="J792">
            <v>129.85</v>
          </cell>
          <cell r="K792">
            <v>108.46</v>
          </cell>
          <cell r="L792">
            <v>9998.4500000000007</v>
          </cell>
        </row>
        <row r="793">
          <cell r="D793" t="str">
            <v xml:space="preserve">  C.359.            </v>
          </cell>
          <cell r="E793" t="str">
            <v xml:space="preserve">      </v>
          </cell>
          <cell r="F793" t="str">
            <v>11.13.</v>
          </cell>
          <cell r="G793" t="str">
            <v xml:space="preserve">Cobertura  </v>
          </cell>
          <cell r="H793" t="str">
            <v xml:space="preserve">      </v>
          </cell>
          <cell r="I793">
            <v>0</v>
          </cell>
          <cell r="J793">
            <v>0</v>
          </cell>
          <cell r="K793">
            <v>0</v>
          </cell>
          <cell r="L793">
            <v>0</v>
          </cell>
        </row>
        <row r="794">
          <cell r="D794" t="str">
            <v xml:space="preserve">  C.360.            </v>
          </cell>
          <cell r="E794" t="str">
            <v>CP0985</v>
          </cell>
          <cell r="F794" t="str">
            <v>11.13.1.</v>
          </cell>
          <cell r="G794" t="str">
            <v xml:space="preserve">Estrutura e cobertura em telha de fibrocimento ondulada, 8 mm - tipo pontaletada  </v>
          </cell>
          <cell r="H794" t="str">
            <v xml:space="preserve">m²    </v>
          </cell>
          <cell r="I794">
            <v>125</v>
          </cell>
          <cell r="J794">
            <v>67.599999999999994</v>
          </cell>
          <cell r="K794">
            <v>65.81</v>
          </cell>
          <cell r="L794">
            <v>8450</v>
          </cell>
        </row>
        <row r="795">
          <cell r="D795" t="str">
            <v xml:space="preserve">  C.361.            </v>
          </cell>
          <cell r="E795" t="str">
            <v>CP0133</v>
          </cell>
          <cell r="F795" t="str">
            <v>11.13.2.</v>
          </cell>
          <cell r="G795" t="str">
            <v xml:space="preserve">Calha em chapa galvanizada MSG 16 e acessórios de fixação  </v>
          </cell>
          <cell r="H795" t="str">
            <v xml:space="preserve">m     </v>
          </cell>
          <cell r="I795">
            <v>78</v>
          </cell>
          <cell r="J795">
            <v>106.29</v>
          </cell>
          <cell r="K795">
            <v>233.63</v>
          </cell>
          <cell r="L795">
            <v>8290.6200000000008</v>
          </cell>
        </row>
        <row r="796">
          <cell r="D796" t="str">
            <v xml:space="preserve">  C.362.            </v>
          </cell>
          <cell r="E796" t="str">
            <v xml:space="preserve">      </v>
          </cell>
          <cell r="F796" t="str">
            <v>11.14.</v>
          </cell>
          <cell r="G796" t="str">
            <v xml:space="preserve">Limpeza de obra:  </v>
          </cell>
          <cell r="H796" t="str">
            <v xml:space="preserve">      </v>
          </cell>
          <cell r="I796">
            <v>0</v>
          </cell>
          <cell r="J796">
            <v>0</v>
          </cell>
          <cell r="K796">
            <v>0</v>
          </cell>
          <cell r="L796">
            <v>0</v>
          </cell>
        </row>
        <row r="797">
          <cell r="D797" t="str">
            <v xml:space="preserve">  C.363.            </v>
          </cell>
          <cell r="E797" t="str">
            <v xml:space="preserve">      </v>
          </cell>
          <cell r="F797" t="str">
            <v>11.14.1.</v>
          </cell>
          <cell r="G797" t="str">
            <v xml:space="preserve">Remoção de entulho, inclusive bota-fora em local apropriado:  </v>
          </cell>
          <cell r="H797" t="str">
            <v xml:space="preserve">      </v>
          </cell>
          <cell r="I797">
            <v>0</v>
          </cell>
          <cell r="J797">
            <v>0</v>
          </cell>
          <cell r="K797">
            <v>0</v>
          </cell>
          <cell r="L797">
            <v>0</v>
          </cell>
        </row>
        <row r="798">
          <cell r="D798" t="str">
            <v xml:space="preserve">  C.364.            </v>
          </cell>
          <cell r="E798" t="str">
            <v>CP1085</v>
          </cell>
          <cell r="F798" t="str">
            <v>11.14.1.1.</v>
          </cell>
          <cell r="G798" t="str">
            <v xml:space="preserve">Carga mecânica de material em geral exceto rocha em caminhão basculante  </v>
          </cell>
          <cell r="H798" t="str">
            <v xml:space="preserve">m3    </v>
          </cell>
          <cell r="I798">
            <v>3</v>
          </cell>
          <cell r="J798">
            <v>1.23</v>
          </cell>
          <cell r="K798">
            <v>1.74</v>
          </cell>
          <cell r="L798">
            <v>3.69</v>
          </cell>
        </row>
        <row r="799">
          <cell r="D799" t="str">
            <v xml:space="preserve">  C.365.            </v>
          </cell>
          <cell r="E799" t="str">
            <v>CP1070</v>
          </cell>
          <cell r="F799" t="str">
            <v>11.14.1.2.</v>
          </cell>
          <cell r="G799" t="str">
            <v xml:space="preserve">Transporte mecânico de material a granel em caminhão basculante  </v>
          </cell>
          <cell r="H799" t="str">
            <v xml:space="preserve">m3xkm </v>
          </cell>
          <cell r="I799">
            <v>27</v>
          </cell>
          <cell r="J799">
            <v>2.38</v>
          </cell>
          <cell r="K799">
            <v>2.35</v>
          </cell>
          <cell r="L799">
            <v>64.260000000000005</v>
          </cell>
        </row>
        <row r="800">
          <cell r="D800" t="str">
            <v xml:space="preserve">  C.366.            </v>
          </cell>
          <cell r="E800" t="str">
            <v>CP0633</v>
          </cell>
          <cell r="F800" t="str">
            <v>11.14.2.</v>
          </cell>
          <cell r="G800" t="str">
            <v xml:space="preserve">Limpeza de vidros  </v>
          </cell>
          <cell r="H800" t="str">
            <v xml:space="preserve">m²    </v>
          </cell>
          <cell r="I800">
            <v>8</v>
          </cell>
          <cell r="J800">
            <v>3.47</v>
          </cell>
          <cell r="K800">
            <v>5.47</v>
          </cell>
          <cell r="L800">
            <v>27.76</v>
          </cell>
        </row>
        <row r="801">
          <cell r="D801" t="str">
            <v xml:space="preserve">  C.367.            </v>
          </cell>
          <cell r="E801" t="str">
            <v>CP0640</v>
          </cell>
          <cell r="F801" t="str">
            <v>11.14.3.</v>
          </cell>
          <cell r="G801" t="str">
            <v xml:space="preserve">Limpeza de pisos e revestimentos  </v>
          </cell>
          <cell r="H801" t="str">
            <v xml:space="preserve">m²    </v>
          </cell>
          <cell r="I801">
            <v>898</v>
          </cell>
          <cell r="J801">
            <v>3.47</v>
          </cell>
          <cell r="K801">
            <v>4.82</v>
          </cell>
          <cell r="L801">
            <v>3116.06</v>
          </cell>
        </row>
        <row r="802">
          <cell r="D802" t="str">
            <v xml:space="preserve">  C.368.            </v>
          </cell>
          <cell r="E802" t="str">
            <v>CP0043</v>
          </cell>
          <cell r="F802" t="str">
            <v>11.15.</v>
          </cell>
          <cell r="G802" t="str">
            <v xml:space="preserve">Revestimento em Wallcap cor champagne metalic CM-35  </v>
          </cell>
          <cell r="H802" t="str">
            <v xml:space="preserve">m²    </v>
          </cell>
          <cell r="I802">
            <v>102</v>
          </cell>
          <cell r="J802">
            <v>151.31</v>
          </cell>
          <cell r="K802">
            <v>216.15</v>
          </cell>
          <cell r="L802">
            <v>15433.62</v>
          </cell>
        </row>
        <row r="803">
          <cell r="D803" t="str">
            <v xml:space="preserve">  D.  1.            </v>
          </cell>
          <cell r="E803" t="str">
            <v xml:space="preserve">      </v>
          </cell>
          <cell r="F803" t="str">
            <v>0.IV.</v>
          </cell>
          <cell r="G803" t="str">
            <v xml:space="preserve">TANQUES DE PRODUTOS QUÍMICOS (TANQUE DE CLORITO DE SÓDIO, ÁCIDO FLUOSSILÍCICO E SULFATO DE ALUMÍNIO)  </v>
          </cell>
          <cell r="H803" t="str">
            <v xml:space="preserve">      </v>
          </cell>
          <cell r="I803">
            <v>0</v>
          </cell>
          <cell r="J803">
            <v>0</v>
          </cell>
          <cell r="K803">
            <v>0</v>
          </cell>
          <cell r="L803">
            <v>0</v>
          </cell>
        </row>
        <row r="804">
          <cell r="D804" t="str">
            <v xml:space="preserve">  D.  2.            </v>
          </cell>
          <cell r="E804" t="str">
            <v xml:space="preserve">      </v>
          </cell>
          <cell r="F804" t="str">
            <v>1.</v>
          </cell>
          <cell r="G804" t="str">
            <v xml:space="preserve">Serviços Preliminares  </v>
          </cell>
          <cell r="H804" t="str">
            <v xml:space="preserve">      </v>
          </cell>
          <cell r="I804">
            <v>0</v>
          </cell>
          <cell r="J804">
            <v>0</v>
          </cell>
          <cell r="K804">
            <v>0</v>
          </cell>
          <cell r="L804">
            <v>0</v>
          </cell>
        </row>
        <row r="805">
          <cell r="D805" t="str">
            <v xml:space="preserve">  D.  3.            </v>
          </cell>
          <cell r="E805" t="str">
            <v>CP1163</v>
          </cell>
          <cell r="F805" t="str">
            <v>1.1.</v>
          </cell>
          <cell r="G805" t="str">
            <v xml:space="preserve">Locacão da obra de edificação com execução de gabarito  </v>
          </cell>
          <cell r="H805" t="str">
            <v xml:space="preserve">m2    </v>
          </cell>
          <cell r="I805">
            <v>392</v>
          </cell>
          <cell r="J805">
            <v>4.3099999999999996</v>
          </cell>
          <cell r="K805">
            <v>3.61</v>
          </cell>
          <cell r="L805">
            <v>1689.52</v>
          </cell>
        </row>
        <row r="806">
          <cell r="D806" t="str">
            <v xml:space="preserve">  D.  4.            </v>
          </cell>
          <cell r="E806" t="str">
            <v>CP1152</v>
          </cell>
          <cell r="F806" t="str">
            <v>1.2.</v>
          </cell>
          <cell r="G806" t="str">
            <v xml:space="preserve">Limpeza mecânica do terreno  </v>
          </cell>
          <cell r="H806" t="str">
            <v xml:space="preserve">m2    </v>
          </cell>
          <cell r="I806">
            <v>392</v>
          </cell>
          <cell r="J806">
            <v>0.55000000000000004</v>
          </cell>
          <cell r="K806">
            <v>0.46</v>
          </cell>
          <cell r="L806">
            <v>215.6</v>
          </cell>
        </row>
        <row r="807">
          <cell r="D807" t="str">
            <v xml:space="preserve">  D.  5.            </v>
          </cell>
          <cell r="E807" t="str">
            <v xml:space="preserve">      </v>
          </cell>
          <cell r="F807" t="str">
            <v>2.</v>
          </cell>
          <cell r="G807" t="str">
            <v xml:space="preserve">Movimento de Terra  </v>
          </cell>
          <cell r="H807" t="str">
            <v xml:space="preserve">      </v>
          </cell>
          <cell r="I807">
            <v>0</v>
          </cell>
          <cell r="J807">
            <v>0</v>
          </cell>
          <cell r="K807">
            <v>0</v>
          </cell>
          <cell r="L807">
            <v>0</v>
          </cell>
        </row>
        <row r="808">
          <cell r="D808" t="str">
            <v xml:space="preserve">  D.  6.            </v>
          </cell>
          <cell r="E808" t="str">
            <v>CP1141</v>
          </cell>
          <cell r="F808" t="str">
            <v>2.1.</v>
          </cell>
          <cell r="G808" t="str">
            <v xml:space="preserve">Escavação mecânica em áreas solo de qualquer natureza exceto rocha, inclusive carga e descarga  </v>
          </cell>
          <cell r="H808" t="str">
            <v xml:space="preserve">m³    </v>
          </cell>
          <cell r="I808">
            <v>250</v>
          </cell>
          <cell r="J808">
            <v>3.89</v>
          </cell>
          <cell r="K808">
            <v>5.55</v>
          </cell>
          <cell r="L808">
            <v>972.5</v>
          </cell>
        </row>
        <row r="809">
          <cell r="D809" t="str">
            <v xml:space="preserve">  D.  7.            </v>
          </cell>
          <cell r="E809" t="str">
            <v>CP1109</v>
          </cell>
          <cell r="F809" t="str">
            <v>2.2.</v>
          </cell>
          <cell r="G809" t="str">
            <v xml:space="preserve">Extração de rocha a frio em valas  </v>
          </cell>
          <cell r="H809" t="str">
            <v xml:space="preserve">m³    </v>
          </cell>
          <cell r="I809">
            <v>30</v>
          </cell>
          <cell r="J809">
            <v>302.83999999999997</v>
          </cell>
          <cell r="K809">
            <v>432.63</v>
          </cell>
          <cell r="L809">
            <v>9085.2000000000007</v>
          </cell>
        </row>
        <row r="810">
          <cell r="D810" t="str">
            <v xml:space="preserve">  D.  8.            </v>
          </cell>
          <cell r="E810" t="str">
            <v>CP1131</v>
          </cell>
          <cell r="F810" t="str">
            <v>2.3.</v>
          </cell>
          <cell r="G810" t="str">
            <v xml:space="preserve">Escavação manual material de 1ª categoria prof. até 1,50m  </v>
          </cell>
          <cell r="H810" t="str">
            <v xml:space="preserve">m³    </v>
          </cell>
          <cell r="I810">
            <v>70</v>
          </cell>
          <cell r="J810">
            <v>20.89</v>
          </cell>
          <cell r="K810">
            <v>19.02</v>
          </cell>
          <cell r="L810">
            <v>1462.3</v>
          </cell>
        </row>
        <row r="811">
          <cell r="D811" t="str">
            <v xml:space="preserve">  D.  9.            </v>
          </cell>
          <cell r="E811" t="str">
            <v>CP1122</v>
          </cell>
          <cell r="F811" t="str">
            <v>2.4.</v>
          </cell>
          <cell r="G811" t="str">
            <v xml:space="preserve">Escavação manual material de 1ª categoria prof. 1,50 m até 3,00m  </v>
          </cell>
          <cell r="H811" t="str">
            <v xml:space="preserve">m³    </v>
          </cell>
          <cell r="I811">
            <v>10</v>
          </cell>
          <cell r="J811">
            <v>25.56</v>
          </cell>
          <cell r="K811">
            <v>26.63</v>
          </cell>
          <cell r="L811">
            <v>255.6</v>
          </cell>
        </row>
        <row r="812">
          <cell r="D812" t="str">
            <v xml:space="preserve">  D. 10.            </v>
          </cell>
          <cell r="E812" t="str">
            <v>CP1085</v>
          </cell>
          <cell r="F812" t="str">
            <v>2.5.</v>
          </cell>
          <cell r="G812" t="str">
            <v xml:space="preserve">Carga mecânica de material em caminhão basculante  </v>
          </cell>
          <cell r="H812" t="str">
            <v xml:space="preserve">m³    </v>
          </cell>
          <cell r="I812">
            <v>468</v>
          </cell>
          <cell r="J812">
            <v>1.23</v>
          </cell>
          <cell r="K812">
            <v>1.74</v>
          </cell>
          <cell r="L812">
            <v>575.64</v>
          </cell>
        </row>
        <row r="813">
          <cell r="D813" t="str">
            <v xml:space="preserve">  D. 11.            </v>
          </cell>
          <cell r="E813" t="str">
            <v>CP1070</v>
          </cell>
          <cell r="F813" t="str">
            <v>2.6.</v>
          </cell>
          <cell r="G813" t="str">
            <v xml:space="preserve">Transporte mecânico de material em caminhão basculante  </v>
          </cell>
          <cell r="H813" t="str">
            <v xml:space="preserve">m³xkm </v>
          </cell>
          <cell r="I813">
            <v>4680</v>
          </cell>
          <cell r="J813">
            <v>2.38</v>
          </cell>
          <cell r="K813">
            <v>2.35</v>
          </cell>
          <cell r="L813">
            <v>11138.4</v>
          </cell>
        </row>
        <row r="814">
          <cell r="D814" t="str">
            <v xml:space="preserve">  D. 12.            </v>
          </cell>
          <cell r="E814" t="str">
            <v xml:space="preserve">      </v>
          </cell>
          <cell r="F814" t="str">
            <v>3.</v>
          </cell>
          <cell r="G814" t="str">
            <v xml:space="preserve">Estruturas de Concreto (incluindo obras diversas)  </v>
          </cell>
          <cell r="H814" t="str">
            <v xml:space="preserve">      </v>
          </cell>
          <cell r="I814">
            <v>0</v>
          </cell>
          <cell r="J814">
            <v>0</v>
          </cell>
          <cell r="K814">
            <v>0</v>
          </cell>
          <cell r="L814">
            <v>0</v>
          </cell>
        </row>
        <row r="815">
          <cell r="D815" t="str">
            <v xml:space="preserve">  D. 13.            </v>
          </cell>
          <cell r="E815" t="str">
            <v xml:space="preserve">      </v>
          </cell>
          <cell r="F815" t="str">
            <v>3.1.</v>
          </cell>
          <cell r="G815" t="str">
            <v xml:space="preserve">Escavação e concretagem de tubulões mecanizados  </v>
          </cell>
          <cell r="H815" t="str">
            <v xml:space="preserve">      </v>
          </cell>
          <cell r="I815">
            <v>0</v>
          </cell>
          <cell r="J815">
            <v>0</v>
          </cell>
          <cell r="K815">
            <v>0</v>
          </cell>
          <cell r="L815">
            <v>0</v>
          </cell>
        </row>
        <row r="816">
          <cell r="D816" t="str">
            <v xml:space="preserve">  D. 14.            </v>
          </cell>
          <cell r="E816" t="str">
            <v>CP0088</v>
          </cell>
          <cell r="F816" t="str">
            <v>3.1.1.</v>
          </cell>
          <cell r="G816" t="str">
            <v xml:space="preserve">Escavação e concretagem de tubulões mecanizados D = 30 cm  </v>
          </cell>
          <cell r="H816" t="str">
            <v xml:space="preserve">m     </v>
          </cell>
          <cell r="I816">
            <v>85</v>
          </cell>
          <cell r="J816">
            <v>80.77</v>
          </cell>
          <cell r="K816">
            <v>81.42</v>
          </cell>
          <cell r="L816">
            <v>6865.45</v>
          </cell>
        </row>
        <row r="817">
          <cell r="D817" t="str">
            <v xml:space="preserve">  D. 15.            </v>
          </cell>
          <cell r="E817" t="str">
            <v>CP0083</v>
          </cell>
          <cell r="F817" t="str">
            <v>3.1.2.</v>
          </cell>
          <cell r="G817" t="str">
            <v xml:space="preserve">Escavação e concretagem de tubulões mecanizados D = 35 cm  </v>
          </cell>
          <cell r="H817" t="str">
            <v xml:space="preserve">m     </v>
          </cell>
          <cell r="I817">
            <v>280</v>
          </cell>
          <cell r="J817">
            <v>96.36</v>
          </cell>
          <cell r="K817">
            <v>92.04</v>
          </cell>
          <cell r="L817">
            <v>26980.799999999999</v>
          </cell>
        </row>
        <row r="818">
          <cell r="D818" t="str">
            <v xml:space="preserve">  D. 16.            </v>
          </cell>
          <cell r="E818" t="str">
            <v>CP0079</v>
          </cell>
          <cell r="F818" t="str">
            <v>3.1.3.</v>
          </cell>
          <cell r="G818" t="str">
            <v xml:space="preserve">Escavação e concretagem de tubulões mecanizados D = 45 cm  </v>
          </cell>
          <cell r="H818" t="str">
            <v xml:space="preserve">m     </v>
          </cell>
          <cell r="I818">
            <v>170</v>
          </cell>
          <cell r="J818">
            <v>136.49</v>
          </cell>
          <cell r="K818">
            <v>115.23</v>
          </cell>
          <cell r="L818">
            <v>23203.3</v>
          </cell>
        </row>
        <row r="819">
          <cell r="D819" t="str">
            <v xml:space="preserve">  D. 17.            </v>
          </cell>
          <cell r="E819" t="str">
            <v>CP0061</v>
          </cell>
          <cell r="F819" t="str">
            <v>3.2.</v>
          </cell>
          <cell r="G819" t="str">
            <v xml:space="preserve">Formas planas para estruturas em chapa de madeira plastificada - 02 reaproveitamentos, inclusive desforma  </v>
          </cell>
          <cell r="H819" t="str">
            <v xml:space="preserve">m²    </v>
          </cell>
          <cell r="I819">
            <v>520</v>
          </cell>
          <cell r="J819">
            <v>87.97</v>
          </cell>
          <cell r="K819">
            <v>73.349999999999994</v>
          </cell>
          <cell r="L819">
            <v>45744.4</v>
          </cell>
        </row>
        <row r="820">
          <cell r="D820" t="str">
            <v xml:space="preserve">  D. 18.            </v>
          </cell>
          <cell r="E820" t="str">
            <v>CP1056</v>
          </cell>
          <cell r="F820" t="str">
            <v>3.3.</v>
          </cell>
          <cell r="G820" t="str">
            <v xml:space="preserve">Armadura de aço CA-50, com fornecimento do material, corte e dobramento  </v>
          </cell>
          <cell r="H820" t="str">
            <v xml:space="preserve">kg    </v>
          </cell>
          <cell r="I820">
            <v>10200</v>
          </cell>
          <cell r="J820">
            <v>6.9</v>
          </cell>
          <cell r="K820">
            <v>5.78</v>
          </cell>
          <cell r="L820">
            <v>70380</v>
          </cell>
        </row>
        <row r="821">
          <cell r="D821" t="str">
            <v xml:space="preserve">  D. 19.            </v>
          </cell>
          <cell r="E821" t="str">
            <v>CP0098</v>
          </cell>
          <cell r="F821" t="str">
            <v>3.4.</v>
          </cell>
          <cell r="G821" t="str">
            <v xml:space="preserve">Fornecimento e lançamento de concreto usinado bombeado - fck = 15 MPA  </v>
          </cell>
          <cell r="H821" t="str">
            <v xml:space="preserve">m³    </v>
          </cell>
          <cell r="I821">
            <v>219</v>
          </cell>
          <cell r="J821">
            <v>338.63</v>
          </cell>
          <cell r="K821">
            <v>282.86</v>
          </cell>
          <cell r="L821">
            <v>74159.97</v>
          </cell>
        </row>
        <row r="822">
          <cell r="D822" t="str">
            <v xml:space="preserve">  D. 20.            </v>
          </cell>
          <cell r="E822" t="str">
            <v>CP0052</v>
          </cell>
          <cell r="F822" t="str">
            <v>3.5.</v>
          </cell>
          <cell r="G822" t="str">
            <v xml:space="preserve">Preparo e lançamento de concreto simples mínimo de 150 kg cimento/m³  </v>
          </cell>
          <cell r="H822" t="str">
            <v xml:space="preserve">m³    </v>
          </cell>
          <cell r="I822">
            <v>32</v>
          </cell>
          <cell r="J822">
            <v>284.95</v>
          </cell>
          <cell r="K822">
            <v>237.1</v>
          </cell>
          <cell r="L822">
            <v>9118.4</v>
          </cell>
        </row>
        <row r="823">
          <cell r="D823" t="str">
            <v xml:space="preserve">  D. 21.            </v>
          </cell>
          <cell r="E823" t="str">
            <v>CP0246</v>
          </cell>
          <cell r="F823" t="str">
            <v>3.6.</v>
          </cell>
          <cell r="G823" t="str">
            <v xml:space="preserve">Revestimento do concreto dos tanques de contenção de ácido fluossilícico, cloreto de sódio e sulfato de alumínio, em resina Durakane 411-45, composto de 2 mantas e 2 véus  </v>
          </cell>
          <cell r="H823" t="str">
            <v xml:space="preserve">m²    </v>
          </cell>
          <cell r="I823">
            <v>349</v>
          </cell>
          <cell r="J823">
            <v>150</v>
          </cell>
          <cell r="K823">
            <v>125.51</v>
          </cell>
          <cell r="L823">
            <v>52350</v>
          </cell>
        </row>
        <row r="824">
          <cell r="D824" t="str">
            <v xml:space="preserve">  D. 22.            </v>
          </cell>
          <cell r="E824" t="str">
            <v>CP0215</v>
          </cell>
          <cell r="F824" t="str">
            <v>3.7.</v>
          </cell>
          <cell r="G824" t="str">
            <v xml:space="preserve">Tela Bematel tipo Q196 para tanque de sulfato de alumínio  </v>
          </cell>
          <cell r="H824" t="str">
            <v xml:space="preserve">kg    </v>
          </cell>
          <cell r="I824">
            <v>349</v>
          </cell>
          <cell r="J824">
            <v>5.86</v>
          </cell>
          <cell r="K824">
            <v>4.8899999999999997</v>
          </cell>
          <cell r="L824">
            <v>2045.14</v>
          </cell>
        </row>
        <row r="825">
          <cell r="D825" t="str">
            <v xml:space="preserve">  D. 23.            </v>
          </cell>
          <cell r="E825" t="str">
            <v xml:space="preserve">      </v>
          </cell>
          <cell r="F825" t="str">
            <v>4.</v>
          </cell>
          <cell r="G825" t="str">
            <v xml:space="preserve">Fornecimento de Equipamentos Hidráulicos, Mecânicos e Eletromecânicos, conforme Especificações Técnicas, relativas a cada Equipamento  </v>
          </cell>
          <cell r="H825" t="str">
            <v xml:space="preserve">      </v>
          </cell>
          <cell r="I825">
            <v>0</v>
          </cell>
          <cell r="J825">
            <v>0</v>
          </cell>
          <cell r="K825">
            <v>0</v>
          </cell>
          <cell r="L825">
            <v>0</v>
          </cell>
        </row>
        <row r="826">
          <cell r="D826" t="str">
            <v xml:space="preserve">  D. 25.            </v>
          </cell>
          <cell r="E826" t="str">
            <v>CP3002</v>
          </cell>
          <cell r="F826" t="str">
            <v>4.1.</v>
          </cell>
          <cell r="G826" t="str">
            <v xml:space="preserve">Tanques de armazenamento de ácido fluossilícico  </v>
          </cell>
          <cell r="H826" t="str">
            <v xml:space="preserve">un    </v>
          </cell>
          <cell r="I826">
            <v>3</v>
          </cell>
          <cell r="J826">
            <v>90312.12</v>
          </cell>
          <cell r="K826">
            <v>127892.81</v>
          </cell>
          <cell r="L826">
            <v>270936.36</v>
          </cell>
        </row>
        <row r="827">
          <cell r="D827" t="str">
            <v xml:space="preserve">  D. 26.            </v>
          </cell>
          <cell r="E827" t="str">
            <v>CP1287</v>
          </cell>
          <cell r="F827" t="str">
            <v>4.2.</v>
          </cell>
          <cell r="G827" t="str">
            <v xml:space="preserve">Moto-bombas dosadoras p/ ácido fluossilícico  </v>
          </cell>
          <cell r="H827" t="str">
            <v xml:space="preserve">un    </v>
          </cell>
          <cell r="I827">
            <v>2</v>
          </cell>
          <cell r="J827">
            <v>23733.77</v>
          </cell>
          <cell r="K827">
            <v>32842.230000000003</v>
          </cell>
          <cell r="L827">
            <v>47467.54</v>
          </cell>
        </row>
        <row r="828">
          <cell r="D828" t="str">
            <v xml:space="preserve">  D. 27.            </v>
          </cell>
          <cell r="E828" t="str">
            <v>CP1266</v>
          </cell>
          <cell r="F828" t="str">
            <v>4.3.</v>
          </cell>
          <cell r="G828" t="str">
            <v xml:space="preserve">Moto-bomba dosadora de sulfato de alumínio  </v>
          </cell>
          <cell r="H828" t="str">
            <v xml:space="preserve">un    </v>
          </cell>
          <cell r="I828">
            <v>2</v>
          </cell>
          <cell r="J828">
            <v>13725.9</v>
          </cell>
          <cell r="K828">
            <v>11461.64</v>
          </cell>
          <cell r="L828">
            <v>27451.8</v>
          </cell>
        </row>
        <row r="829">
          <cell r="D829" t="str">
            <v xml:space="preserve">  D. 28.            </v>
          </cell>
          <cell r="E829" t="str">
            <v>CP0621</v>
          </cell>
          <cell r="F829" t="str">
            <v>4.4.</v>
          </cell>
          <cell r="G829" t="str">
            <v xml:space="preserve">Tanques de armazenamento de sulfato de alumínio  </v>
          </cell>
          <cell r="H829" t="str">
            <v xml:space="preserve">un    </v>
          </cell>
          <cell r="I829">
            <v>3</v>
          </cell>
          <cell r="J829">
            <v>185487.52</v>
          </cell>
          <cell r="K829">
            <v>186569.3</v>
          </cell>
          <cell r="L829">
            <v>556462.56000000006</v>
          </cell>
        </row>
        <row r="830">
          <cell r="D830" t="str">
            <v xml:space="preserve">  D. 29.            </v>
          </cell>
          <cell r="E830" t="str">
            <v>CP1210</v>
          </cell>
          <cell r="F830" t="str">
            <v>4.5.</v>
          </cell>
          <cell r="G830" t="str">
            <v xml:space="preserve">Moto-bomba dosadora de água de diluição de sulfato de alumínio  </v>
          </cell>
          <cell r="H830" t="str">
            <v xml:space="preserve">un    </v>
          </cell>
          <cell r="I830">
            <v>2</v>
          </cell>
          <cell r="J830">
            <v>18425.48</v>
          </cell>
          <cell r="K830">
            <v>15441.59</v>
          </cell>
          <cell r="L830">
            <v>36850.959999999999</v>
          </cell>
        </row>
        <row r="831">
          <cell r="D831" t="str">
            <v xml:space="preserve">  D. 30.            </v>
          </cell>
          <cell r="E831" t="str">
            <v>CP1332</v>
          </cell>
          <cell r="F831" t="str">
            <v>4.6.</v>
          </cell>
          <cell r="G831" t="str">
            <v xml:space="preserve">Compressor de ar tipo alternativo pistão para o sistema de sulfato  </v>
          </cell>
          <cell r="H831" t="str">
            <v xml:space="preserve">un    </v>
          </cell>
          <cell r="I831">
            <v>1</v>
          </cell>
          <cell r="J831">
            <v>11602.35</v>
          </cell>
          <cell r="K831">
            <v>16574.78</v>
          </cell>
          <cell r="L831">
            <v>11602.35</v>
          </cell>
        </row>
        <row r="832">
          <cell r="D832" t="str">
            <v xml:space="preserve">  D. 31.            </v>
          </cell>
          <cell r="E832" t="str">
            <v>CP1400</v>
          </cell>
          <cell r="F832" t="str">
            <v>4.7.</v>
          </cell>
          <cell r="G832" t="str">
            <v xml:space="preserve">Compressor de ar tipo alternativo pistão para o sistema de ácido fluossilícico  </v>
          </cell>
          <cell r="H832" t="str">
            <v xml:space="preserve">un    </v>
          </cell>
          <cell r="I832">
            <v>1</v>
          </cell>
          <cell r="J832">
            <v>4239.5600000000004</v>
          </cell>
          <cell r="K832">
            <v>6056.52</v>
          </cell>
          <cell r="L832">
            <v>4239.5600000000004</v>
          </cell>
        </row>
        <row r="833">
          <cell r="D833" t="str">
            <v xml:space="preserve">  D. 32.            </v>
          </cell>
          <cell r="E833" t="str">
            <v xml:space="preserve">      </v>
          </cell>
          <cell r="F833" t="str">
            <v>5.</v>
          </cell>
          <cell r="G833" t="str">
            <v xml:space="preserve">Montagem de Equipamentos Hidráulicos, Mecânicos e Eletromecânicos, conforme Especificações Técnicas, Relativas a cada Equipamento  </v>
          </cell>
          <cell r="H833" t="str">
            <v xml:space="preserve">      </v>
          </cell>
          <cell r="I833">
            <v>0</v>
          </cell>
          <cell r="J833">
            <v>0</v>
          </cell>
          <cell r="K833">
            <v>0</v>
          </cell>
          <cell r="L833">
            <v>0</v>
          </cell>
        </row>
        <row r="834">
          <cell r="D834" t="str">
            <v xml:space="preserve">  D. 34.            </v>
          </cell>
          <cell r="E834" t="str">
            <v>CP0290</v>
          </cell>
          <cell r="F834" t="str">
            <v>5.1.</v>
          </cell>
          <cell r="G834" t="str">
            <v xml:space="preserve">Tanques de armazenamento de ácido fluossilícico  </v>
          </cell>
          <cell r="H834" t="str">
            <v xml:space="preserve">un    </v>
          </cell>
          <cell r="I834">
            <v>3</v>
          </cell>
          <cell r="J834">
            <v>2044.48</v>
          </cell>
          <cell r="K834">
            <v>1734.96</v>
          </cell>
          <cell r="L834">
            <v>6133.44</v>
          </cell>
        </row>
        <row r="835">
          <cell r="D835" t="str">
            <v xml:space="preserve">  D. 35.            </v>
          </cell>
          <cell r="E835" t="str">
            <v>CP0307A</v>
          </cell>
          <cell r="F835" t="str">
            <v>5.2.</v>
          </cell>
          <cell r="G835" t="str">
            <v xml:space="preserve">Moto-bombas dosadoras p/ ácido fluossilícico  </v>
          </cell>
          <cell r="H835" t="str">
            <v xml:space="preserve">un    </v>
          </cell>
          <cell r="I835">
            <v>2</v>
          </cell>
          <cell r="J835">
            <v>601.46</v>
          </cell>
          <cell r="K835">
            <v>504.99</v>
          </cell>
          <cell r="L835">
            <v>1202.92</v>
          </cell>
        </row>
        <row r="836">
          <cell r="D836" t="str">
            <v xml:space="preserve">  D. 36.            </v>
          </cell>
          <cell r="E836" t="str">
            <v>CP4603</v>
          </cell>
          <cell r="F836" t="str">
            <v>5.3.</v>
          </cell>
          <cell r="G836" t="str">
            <v xml:space="preserve">Moto-bomba dosadora de sulfato de alumínio, inclusive treinamento dos técnicos da CAESB  </v>
          </cell>
          <cell r="H836" t="str">
            <v xml:space="preserve">un    </v>
          </cell>
          <cell r="I836">
            <v>2</v>
          </cell>
          <cell r="J836">
            <v>1592.02</v>
          </cell>
          <cell r="K836">
            <v>1332.33</v>
          </cell>
          <cell r="L836">
            <v>3184.04</v>
          </cell>
        </row>
        <row r="837">
          <cell r="D837" t="str">
            <v xml:space="preserve">  D. 37.            </v>
          </cell>
          <cell r="E837" t="str">
            <v>CP0290A</v>
          </cell>
          <cell r="F837" t="str">
            <v>5.4.</v>
          </cell>
          <cell r="G837" t="str">
            <v xml:space="preserve">Tanques de armazenamento de sulfato de alumínio  </v>
          </cell>
          <cell r="H837" t="str">
            <v xml:space="preserve">un    </v>
          </cell>
          <cell r="I837">
            <v>3</v>
          </cell>
          <cell r="J837">
            <v>2044.48</v>
          </cell>
          <cell r="K837">
            <v>1734.96</v>
          </cell>
          <cell r="L837">
            <v>6133.44</v>
          </cell>
        </row>
        <row r="838">
          <cell r="D838" t="str">
            <v xml:space="preserve">  D. 38.            </v>
          </cell>
          <cell r="E838" t="str">
            <v>CP0217</v>
          </cell>
          <cell r="F838" t="str">
            <v>5.5.</v>
          </cell>
          <cell r="G838" t="str">
            <v xml:space="preserve">Moto-bomba dosadora de água de diluição de s. alumínio, inclusive treinamento dos técnicos da CAESB  </v>
          </cell>
          <cell r="H838" t="str">
            <v xml:space="preserve">un    </v>
          </cell>
          <cell r="I838">
            <v>2</v>
          </cell>
          <cell r="J838">
            <v>1057.52</v>
          </cell>
          <cell r="K838">
            <v>901.98</v>
          </cell>
          <cell r="L838">
            <v>2115.04</v>
          </cell>
        </row>
        <row r="839">
          <cell r="D839" t="str">
            <v xml:space="preserve">  D. 39.            </v>
          </cell>
          <cell r="E839" t="str">
            <v>CP0183</v>
          </cell>
          <cell r="F839" t="str">
            <v>5.6.</v>
          </cell>
          <cell r="G839" t="str">
            <v xml:space="preserve">Compressor de ar tipo alternativo pistão para o sistema de sulfato  </v>
          </cell>
          <cell r="H839" t="str">
            <v xml:space="preserve">un    </v>
          </cell>
          <cell r="I839">
            <v>1</v>
          </cell>
          <cell r="J839">
            <v>488.18</v>
          </cell>
          <cell r="K839">
            <v>409.43</v>
          </cell>
          <cell r="L839">
            <v>488.18</v>
          </cell>
        </row>
        <row r="840">
          <cell r="D840" t="str">
            <v xml:space="preserve">  D. 40.            </v>
          </cell>
          <cell r="E840" t="str">
            <v>CP0183A</v>
          </cell>
          <cell r="F840" t="str">
            <v>5.7.</v>
          </cell>
          <cell r="G840" t="str">
            <v xml:space="preserve">Compressor de ar tipo alternativo pistão para o sistema de ácido fluossilícico  </v>
          </cell>
          <cell r="H840" t="str">
            <v xml:space="preserve">un    </v>
          </cell>
          <cell r="I840">
            <v>1</v>
          </cell>
          <cell r="J840">
            <v>488.18</v>
          </cell>
          <cell r="K840">
            <v>409.43</v>
          </cell>
          <cell r="L840">
            <v>488.18</v>
          </cell>
        </row>
        <row r="841">
          <cell r="D841" t="str">
            <v xml:space="preserve">  D. 41.            </v>
          </cell>
          <cell r="E841" t="str">
            <v xml:space="preserve">      </v>
          </cell>
          <cell r="F841" t="str">
            <v>6.</v>
          </cell>
          <cell r="G841" t="str">
            <v xml:space="preserve">Fornecimento de Materiais para Instalações de Processo  </v>
          </cell>
          <cell r="H841" t="str">
            <v xml:space="preserve">      </v>
          </cell>
          <cell r="I841">
            <v>0</v>
          </cell>
          <cell r="J841">
            <v>0</v>
          </cell>
          <cell r="K841">
            <v>0</v>
          </cell>
          <cell r="L841">
            <v>0</v>
          </cell>
        </row>
        <row r="842">
          <cell r="D842" t="str">
            <v xml:space="preserve">  D. 42.            </v>
          </cell>
          <cell r="E842" t="str">
            <v xml:space="preserve">      </v>
          </cell>
          <cell r="F842" t="str">
            <v>6.1.</v>
          </cell>
          <cell r="G842" t="str">
            <v xml:space="preserve">Tubos em polipropileno soldáveis conforme norma DIN-8077, pressão nominal de 10 kg/cm², TUBELLI ou similar  </v>
          </cell>
          <cell r="H842" t="str">
            <v xml:space="preserve">      </v>
          </cell>
          <cell r="I842">
            <v>0</v>
          </cell>
          <cell r="J842">
            <v>0</v>
          </cell>
          <cell r="K842">
            <v>0</v>
          </cell>
          <cell r="L842">
            <v>0</v>
          </cell>
        </row>
        <row r="843">
          <cell r="D843" t="str">
            <v xml:space="preserve">  D. 43.            </v>
          </cell>
          <cell r="E843" t="str">
            <v>CP0731</v>
          </cell>
          <cell r="F843" t="str">
            <v>6.1.1.</v>
          </cell>
          <cell r="G843" t="str">
            <v xml:space="preserve">Tubos em polipropileno soldáveis conforme norma DIN-8077, pressão nominal de 10 kg/cm², TUBELLI ou similar Tubo DN 160  </v>
          </cell>
          <cell r="H843" t="str">
            <v xml:space="preserve">m     </v>
          </cell>
          <cell r="I843">
            <v>5</v>
          </cell>
          <cell r="J843">
            <v>59.49</v>
          </cell>
          <cell r="K843">
            <v>59.6</v>
          </cell>
          <cell r="L843">
            <v>297.45</v>
          </cell>
        </row>
        <row r="844">
          <cell r="D844" t="str">
            <v xml:space="preserve">  D. 44.            </v>
          </cell>
          <cell r="E844" t="str">
            <v>CP0733</v>
          </cell>
          <cell r="F844" t="str">
            <v>6.1.2.</v>
          </cell>
          <cell r="G844" t="str">
            <v xml:space="preserve">Tubos em polipropileno soldáveis conforme norma DIN-8077, pressão nominal de 10 kg/cm², TUBELLI ou similar Tubo DN 85  </v>
          </cell>
          <cell r="H844" t="str">
            <v xml:space="preserve">m     </v>
          </cell>
          <cell r="I844">
            <v>47</v>
          </cell>
          <cell r="J844">
            <v>22.81</v>
          </cell>
          <cell r="K844">
            <v>19.02</v>
          </cell>
          <cell r="L844">
            <v>1072.07</v>
          </cell>
        </row>
        <row r="845">
          <cell r="D845" t="str">
            <v xml:space="preserve">  D. 45.            </v>
          </cell>
          <cell r="E845" t="str">
            <v>CP0736</v>
          </cell>
          <cell r="F845" t="str">
            <v>6.1.3.</v>
          </cell>
          <cell r="G845" t="str">
            <v xml:space="preserve">Tubos em polipropileno soldáveis conforme norma DIN-8077, pressão nominal de 10 kg/cm², TUBELLI ou similar Tubo DN 75  </v>
          </cell>
          <cell r="H845" t="str">
            <v xml:space="preserve">m     </v>
          </cell>
          <cell r="I845">
            <v>30</v>
          </cell>
          <cell r="J845">
            <v>14.57</v>
          </cell>
          <cell r="K845">
            <v>13.28</v>
          </cell>
          <cell r="L845">
            <v>437.1</v>
          </cell>
        </row>
        <row r="846">
          <cell r="D846" t="str">
            <v xml:space="preserve">  D. 46.            </v>
          </cell>
          <cell r="E846" t="str">
            <v>CP0738</v>
          </cell>
          <cell r="F846" t="str">
            <v>6.1.4.</v>
          </cell>
          <cell r="G846" t="str">
            <v xml:space="preserve">Tubos em polipropileno soldáveis conforme norma DIN-8077, pressão nominal de 10 kg/cm², TUBELLI ou similar Tubo DN 60  </v>
          </cell>
          <cell r="H846" t="str">
            <v xml:space="preserve">m     </v>
          </cell>
          <cell r="I846">
            <v>8</v>
          </cell>
          <cell r="J846">
            <v>11.21</v>
          </cell>
          <cell r="K846">
            <v>9.39</v>
          </cell>
          <cell r="L846">
            <v>89.68</v>
          </cell>
        </row>
        <row r="847">
          <cell r="D847" t="str">
            <v xml:space="preserve">  D. 47.            </v>
          </cell>
          <cell r="E847" t="str">
            <v>CP0742</v>
          </cell>
          <cell r="F847" t="str">
            <v>6.1.5.</v>
          </cell>
          <cell r="G847" t="str">
            <v xml:space="preserve">Tubos em polipropileno soldáveis conforme norma DIN-8077, pressão nominal de 10 kg/cm², TUBELLI ou similar Tubo DN 40  </v>
          </cell>
          <cell r="H847" t="str">
            <v xml:space="preserve">m     </v>
          </cell>
          <cell r="I847">
            <v>3</v>
          </cell>
          <cell r="J847">
            <v>4.5999999999999996</v>
          </cell>
          <cell r="K847">
            <v>3.84</v>
          </cell>
          <cell r="L847">
            <v>13.8</v>
          </cell>
        </row>
        <row r="848">
          <cell r="D848" t="str">
            <v xml:space="preserve">  D. 48.            </v>
          </cell>
          <cell r="E848" t="str">
            <v>CP2132</v>
          </cell>
          <cell r="F848" t="str">
            <v>6.1.6.</v>
          </cell>
          <cell r="G848" t="str">
            <v xml:space="preserve">Tubos em polipropileno soldáveis conforme norma DIN-8077, pressão nominal de 10 kg/cm², TUBELLI ou similar Tubo DN 32  </v>
          </cell>
          <cell r="H848" t="str">
            <v xml:space="preserve">m     </v>
          </cell>
          <cell r="I848">
            <v>46</v>
          </cell>
          <cell r="J848">
            <v>3.62</v>
          </cell>
          <cell r="K848">
            <v>3.2</v>
          </cell>
          <cell r="L848">
            <v>166.52</v>
          </cell>
        </row>
        <row r="849">
          <cell r="D849" t="str">
            <v xml:space="preserve">  D. 49.            </v>
          </cell>
          <cell r="E849" t="str">
            <v>CP0745</v>
          </cell>
          <cell r="F849" t="str">
            <v>6.1.7.</v>
          </cell>
          <cell r="G849" t="str">
            <v xml:space="preserve">Tubos em polipropileno soldáveis conforme norma DIN-8077, pressão nominal de 10 kg/cm², TUBELLI ou similar Tubo DN 25  </v>
          </cell>
          <cell r="H849" t="str">
            <v xml:space="preserve">m     </v>
          </cell>
          <cell r="I849">
            <v>1</v>
          </cell>
          <cell r="J849">
            <v>2.19</v>
          </cell>
          <cell r="K849">
            <v>1.84</v>
          </cell>
          <cell r="L849">
            <v>2.19</v>
          </cell>
        </row>
        <row r="850">
          <cell r="D850" t="str">
            <v xml:space="preserve">  D. 50.            </v>
          </cell>
          <cell r="E850" t="str">
            <v>CP2205</v>
          </cell>
          <cell r="F850" t="str">
            <v>6.1.8.</v>
          </cell>
          <cell r="G850" t="str">
            <v xml:space="preserve">Tubos em polipropileno soldáveis conforme norma DIN-8077, pressão nominal de 10 kg/cm², TUBELLI ou similar Tubo DN 20  </v>
          </cell>
          <cell r="H850" t="str">
            <v xml:space="preserve">m     </v>
          </cell>
          <cell r="I850">
            <v>96</v>
          </cell>
          <cell r="J850">
            <v>1.72</v>
          </cell>
          <cell r="K850">
            <v>1.44</v>
          </cell>
          <cell r="L850">
            <v>165.12</v>
          </cell>
        </row>
        <row r="851">
          <cell r="D851" t="str">
            <v xml:space="preserve">  D. 51.            </v>
          </cell>
          <cell r="E851" t="str">
            <v xml:space="preserve">      </v>
          </cell>
          <cell r="F851" t="str">
            <v>6.2.</v>
          </cell>
          <cell r="G851" t="str">
            <v xml:space="preserve">Conexões em polipropileno, pressão nominal de 10 kg/cm², TUBELLI ou similar  </v>
          </cell>
          <cell r="H851" t="str">
            <v xml:space="preserve">      </v>
          </cell>
          <cell r="I851">
            <v>0</v>
          </cell>
          <cell r="J851">
            <v>0</v>
          </cell>
          <cell r="K851">
            <v>0</v>
          </cell>
          <cell r="L851">
            <v>0</v>
          </cell>
        </row>
        <row r="852">
          <cell r="D852" t="str">
            <v xml:space="preserve">  D. 52.            </v>
          </cell>
          <cell r="E852" t="str">
            <v>CP1704</v>
          </cell>
          <cell r="F852" t="str">
            <v>6.2.1.</v>
          </cell>
          <cell r="G852" t="str">
            <v xml:space="preserve">Conexões em polipropileno, pressão nominal de 10 kg/cm², TUBELLI ou similar Flange soldável DN 160  </v>
          </cell>
          <cell r="H852" t="str">
            <v xml:space="preserve">pç    </v>
          </cell>
          <cell r="I852">
            <v>4</v>
          </cell>
          <cell r="J852">
            <v>118.95</v>
          </cell>
          <cell r="K852">
            <v>104.25</v>
          </cell>
          <cell r="L852">
            <v>475.8</v>
          </cell>
        </row>
        <row r="853">
          <cell r="D853" t="str">
            <v xml:space="preserve">  D. 53.            </v>
          </cell>
          <cell r="E853" t="str">
            <v>CP1766</v>
          </cell>
          <cell r="F853" t="str">
            <v>6.2.2.</v>
          </cell>
          <cell r="G853" t="str">
            <v xml:space="preserve">Conexões em polipropileno, pressão nominal de 10 kg/cm², TUBELLI ou similar Flange soldável DN 110  </v>
          </cell>
          <cell r="H853" t="str">
            <v xml:space="preserve">pç    </v>
          </cell>
          <cell r="I853">
            <v>2</v>
          </cell>
          <cell r="J853">
            <v>69.39</v>
          </cell>
          <cell r="K853">
            <v>58.24</v>
          </cell>
          <cell r="L853">
            <v>138.78</v>
          </cell>
        </row>
        <row r="854">
          <cell r="D854" t="str">
            <v xml:space="preserve">  D. 54.            </v>
          </cell>
          <cell r="E854" t="str">
            <v>CP1798</v>
          </cell>
          <cell r="F854" t="str">
            <v>6.2.3.</v>
          </cell>
          <cell r="G854" t="str">
            <v xml:space="preserve">Conexões em polipropileno, pressão nominal de 10 kg/cm², TUBELLI ou similar Flange soldável DN 85  </v>
          </cell>
          <cell r="H854" t="str">
            <v xml:space="preserve">pç    </v>
          </cell>
          <cell r="I854">
            <v>5</v>
          </cell>
          <cell r="J854">
            <v>58.24</v>
          </cell>
          <cell r="K854">
            <v>48.71</v>
          </cell>
          <cell r="L854">
            <v>291.2</v>
          </cell>
        </row>
        <row r="855">
          <cell r="D855" t="str">
            <v xml:space="preserve">  D. 55.            </v>
          </cell>
          <cell r="E855" t="str">
            <v>CP1801</v>
          </cell>
          <cell r="F855" t="str">
            <v>6.2.4.</v>
          </cell>
          <cell r="G855" t="str">
            <v xml:space="preserve">Conexões em polipropileno, pressão nominal de 10 kg/cm², TUBELLI ou similar Flange soldável DN 75  </v>
          </cell>
          <cell r="H855" t="str">
            <v xml:space="preserve">pç    </v>
          </cell>
          <cell r="I855">
            <v>5</v>
          </cell>
          <cell r="J855">
            <v>54.52</v>
          </cell>
          <cell r="K855">
            <v>45.57</v>
          </cell>
          <cell r="L855">
            <v>272.60000000000002</v>
          </cell>
        </row>
        <row r="856">
          <cell r="D856" t="str">
            <v xml:space="preserve">  D. 56.            </v>
          </cell>
          <cell r="E856" t="str">
            <v>CP1807</v>
          </cell>
          <cell r="F856" t="str">
            <v>6.2.5.</v>
          </cell>
          <cell r="G856" t="str">
            <v xml:space="preserve">Conexões em polipropileno, pressão nominal de 10 kg/cm², TUBELLI ou similar Flange soldável DN 60  </v>
          </cell>
          <cell r="H856" t="str">
            <v xml:space="preserve">pç    </v>
          </cell>
          <cell r="I856">
            <v>3</v>
          </cell>
          <cell r="J856">
            <v>46.24</v>
          </cell>
          <cell r="K856">
            <v>42.04</v>
          </cell>
          <cell r="L856">
            <v>138.72</v>
          </cell>
        </row>
        <row r="857">
          <cell r="D857" t="str">
            <v xml:space="preserve">  D. 57.            </v>
          </cell>
          <cell r="E857" t="str">
            <v>CP1983</v>
          </cell>
          <cell r="F857" t="str">
            <v>6.2.6.</v>
          </cell>
          <cell r="G857" t="str">
            <v xml:space="preserve">Conexões em polipropileno, pressão nominal de 10 kg/cm², TUBELLI ou similar Flange soldável DN 32  </v>
          </cell>
          <cell r="H857" t="str">
            <v xml:space="preserve">pç    </v>
          </cell>
          <cell r="I857">
            <v>5</v>
          </cell>
          <cell r="J857">
            <v>24.84</v>
          </cell>
          <cell r="K857">
            <v>24.64</v>
          </cell>
          <cell r="L857">
            <v>124.2</v>
          </cell>
        </row>
        <row r="858">
          <cell r="D858" t="str">
            <v xml:space="preserve">  D. 58.            </v>
          </cell>
          <cell r="E858" t="str">
            <v>CP2019</v>
          </cell>
          <cell r="F858" t="str">
            <v>6.2.7.</v>
          </cell>
          <cell r="G858" t="str">
            <v xml:space="preserve">Conexões em polipropileno, pressão nominal de 10 kg/cm², TUBELLI ou similar Flange soldável DN 20  </v>
          </cell>
          <cell r="H858" t="str">
            <v xml:space="preserve">pç    </v>
          </cell>
          <cell r="I858">
            <v>14</v>
          </cell>
          <cell r="J858">
            <v>17.670000000000002</v>
          </cell>
          <cell r="K858">
            <v>20.99</v>
          </cell>
          <cell r="L858">
            <v>247.38</v>
          </cell>
        </row>
        <row r="859">
          <cell r="D859" t="str">
            <v xml:space="preserve">  D. 59.            </v>
          </cell>
          <cell r="E859" t="str">
            <v>CP4515</v>
          </cell>
          <cell r="F859" t="str">
            <v>6.2.8.</v>
          </cell>
          <cell r="G859" t="str">
            <v xml:space="preserve">Conexões em polipropileno, pressão nominal de 10 kg/cm², TUBELLI ou similar Cap soldável DN 32  </v>
          </cell>
          <cell r="H859" t="str">
            <v xml:space="preserve">pç    </v>
          </cell>
          <cell r="I859">
            <v>2</v>
          </cell>
          <cell r="J859">
            <v>3.21</v>
          </cell>
          <cell r="K859">
            <v>4.59</v>
          </cell>
          <cell r="L859">
            <v>6.42</v>
          </cell>
        </row>
        <row r="860">
          <cell r="D860" t="str">
            <v xml:space="preserve">  D. 60.            </v>
          </cell>
          <cell r="E860" t="str">
            <v>CP1866</v>
          </cell>
          <cell r="F860" t="str">
            <v>6.2.9.</v>
          </cell>
          <cell r="G860" t="str">
            <v xml:space="preserve">Conexões em polipropileno, pressão nominal de 10 kg/cm², TUBELLI ou similar Joelho 90° soldável DN 85  </v>
          </cell>
          <cell r="H860" t="str">
            <v xml:space="preserve">pç    </v>
          </cell>
          <cell r="I860">
            <v>24</v>
          </cell>
          <cell r="J860">
            <v>20.75</v>
          </cell>
          <cell r="K860">
            <v>17.350000000000001</v>
          </cell>
          <cell r="L860">
            <v>498</v>
          </cell>
        </row>
        <row r="861">
          <cell r="D861" t="str">
            <v xml:space="preserve">  D. 61.            </v>
          </cell>
          <cell r="E861" t="str">
            <v>CP1927</v>
          </cell>
          <cell r="F861" t="str">
            <v>6.2.10.</v>
          </cell>
          <cell r="G861" t="str">
            <v xml:space="preserve">Conexões em polipropileno, pressão nominal de 10 kg/cm², TUBELLI ou similar Joelho 90° soldável DN 75  </v>
          </cell>
          <cell r="H861" t="str">
            <v xml:space="preserve">pç    </v>
          </cell>
          <cell r="I861">
            <v>10</v>
          </cell>
          <cell r="J861">
            <v>9.8000000000000007</v>
          </cell>
          <cell r="K861">
            <v>13.82</v>
          </cell>
          <cell r="L861">
            <v>98</v>
          </cell>
        </row>
        <row r="862">
          <cell r="D862" t="str">
            <v xml:space="preserve">  D. 62.            </v>
          </cell>
          <cell r="E862" t="str">
            <v>CP2023</v>
          </cell>
          <cell r="F862" t="str">
            <v>6.2.11.</v>
          </cell>
          <cell r="G862" t="str">
            <v xml:space="preserve">Conexões em polipropileno, pressão nominal de 10 kg/cm², TUBELLI ou similar Joelho 90° soldável DN 60  </v>
          </cell>
          <cell r="H862" t="str">
            <v xml:space="preserve">pç    </v>
          </cell>
          <cell r="I862">
            <v>20</v>
          </cell>
          <cell r="J862">
            <v>15</v>
          </cell>
          <cell r="K862">
            <v>12.52</v>
          </cell>
          <cell r="L862">
            <v>300</v>
          </cell>
        </row>
        <row r="863">
          <cell r="D863" t="str">
            <v xml:space="preserve">  D. 63.            </v>
          </cell>
          <cell r="E863" t="str">
            <v>CP2170</v>
          </cell>
          <cell r="F863" t="str">
            <v>6.2.12.</v>
          </cell>
          <cell r="G863" t="str">
            <v xml:space="preserve">Conexões em polipropileno, pressão nominal de 10 kg/cm², TUBELLI ou similar Joelho 90° soldável DN 40  </v>
          </cell>
          <cell r="H863" t="str">
            <v xml:space="preserve">pç    </v>
          </cell>
          <cell r="I863">
            <v>1</v>
          </cell>
          <cell r="J863">
            <v>7.58</v>
          </cell>
          <cell r="K863">
            <v>6.33</v>
          </cell>
          <cell r="L863">
            <v>7.58</v>
          </cell>
        </row>
        <row r="864">
          <cell r="D864" t="str">
            <v xml:space="preserve">  D. 64.            </v>
          </cell>
          <cell r="E864" t="str">
            <v>CP2211</v>
          </cell>
          <cell r="F864" t="str">
            <v>6.2.13.</v>
          </cell>
          <cell r="G864" t="str">
            <v xml:space="preserve">Conexões em polipropileno, pressão nominal de 10 kg/cm², TUBELLI ou similar Joelho 90° soldável DN 32  </v>
          </cell>
          <cell r="H864" t="str">
            <v xml:space="preserve">pç    </v>
          </cell>
          <cell r="I864">
            <v>38</v>
          </cell>
          <cell r="J864">
            <v>3.14</v>
          </cell>
          <cell r="K864">
            <v>4.4800000000000004</v>
          </cell>
          <cell r="L864">
            <v>119.32</v>
          </cell>
        </row>
        <row r="865">
          <cell r="D865" t="str">
            <v xml:space="preserve">  D. 65.            </v>
          </cell>
          <cell r="E865" t="str">
            <v>CP2277</v>
          </cell>
          <cell r="F865" t="str">
            <v>6.2.14.</v>
          </cell>
          <cell r="G865" t="str">
            <v xml:space="preserve">Conexões em polipropileno, pressão nominal de 10 kg/cm², TUBELLI ou similar Joelho 90° soldável DN 20  </v>
          </cell>
          <cell r="H865" t="str">
            <v xml:space="preserve">pç    </v>
          </cell>
          <cell r="I865">
            <v>37</v>
          </cell>
          <cell r="J865">
            <v>1.97</v>
          </cell>
          <cell r="K865">
            <v>2.31</v>
          </cell>
          <cell r="L865">
            <v>72.89</v>
          </cell>
        </row>
        <row r="866">
          <cell r="D866" t="str">
            <v xml:space="preserve">  D. 66.            </v>
          </cell>
          <cell r="E866" t="str">
            <v>CP2196</v>
          </cell>
          <cell r="F866" t="str">
            <v>6.2.15.</v>
          </cell>
          <cell r="G866" t="str">
            <v xml:space="preserve">Conexões em polipropileno, pressão nominal de 10 kg/cm², TUBELLI ou similar Joelho 90° de red. soldável/rosca DN 32x3/4  </v>
          </cell>
          <cell r="H866" t="str">
            <v xml:space="preserve">pç    </v>
          </cell>
          <cell r="I866">
            <v>4</v>
          </cell>
          <cell r="J866">
            <v>3.03</v>
          </cell>
          <cell r="K866">
            <v>4.33</v>
          </cell>
          <cell r="L866">
            <v>12.12</v>
          </cell>
        </row>
        <row r="867">
          <cell r="D867" t="str">
            <v xml:space="preserve">  D. 67.            </v>
          </cell>
          <cell r="E867" t="str">
            <v>CP2236</v>
          </cell>
          <cell r="F867" t="str">
            <v>6.2.16.</v>
          </cell>
          <cell r="G867" t="str">
            <v xml:space="preserve">Conexões em polipropileno, pressão nominal de 10 kg/cm², TUBELLI ou similar Joelho de redução 90° soldável DN 32x25  </v>
          </cell>
          <cell r="H867" t="str">
            <v xml:space="preserve">pç    </v>
          </cell>
          <cell r="I867">
            <v>1</v>
          </cell>
          <cell r="J867">
            <v>4.21</v>
          </cell>
          <cell r="K867">
            <v>6.02</v>
          </cell>
          <cell r="L867">
            <v>4.21</v>
          </cell>
        </row>
        <row r="868">
          <cell r="D868" t="str">
            <v xml:space="preserve">  D. 68.            </v>
          </cell>
          <cell r="E868" t="str">
            <v>CP2261</v>
          </cell>
          <cell r="F868" t="str">
            <v>6.2.17.</v>
          </cell>
          <cell r="G868" t="str">
            <v xml:space="preserve">Conexões em polipropileno, pressão nominal de 10 kg/cm², TUBELLI ou similar Joelho de redução 90° soldável DN 25x20  </v>
          </cell>
          <cell r="H868" t="str">
            <v xml:space="preserve">pç    </v>
          </cell>
          <cell r="I868">
            <v>1</v>
          </cell>
          <cell r="J868">
            <v>1.69</v>
          </cell>
          <cell r="K868">
            <v>2.41</v>
          </cell>
          <cell r="L868">
            <v>1.69</v>
          </cell>
        </row>
        <row r="869">
          <cell r="D869" t="str">
            <v xml:space="preserve">  D. 69.            </v>
          </cell>
          <cell r="E869" t="str">
            <v>CP2229</v>
          </cell>
          <cell r="F869" t="str">
            <v>6.2.18.</v>
          </cell>
          <cell r="G869" t="str">
            <v xml:space="preserve">Conexões em polipropileno, pressão nominal de 10 kg/cm², TUBELLI ou similar Joelho 45° soldável DN 32  </v>
          </cell>
          <cell r="H869" t="str">
            <v xml:space="preserve">pç    </v>
          </cell>
          <cell r="I869">
            <v>2</v>
          </cell>
          <cell r="J869">
            <v>3.37</v>
          </cell>
          <cell r="K869">
            <v>4.8099999999999996</v>
          </cell>
          <cell r="L869">
            <v>6.74</v>
          </cell>
        </row>
        <row r="870">
          <cell r="D870" t="str">
            <v xml:space="preserve">  D. 70.            </v>
          </cell>
          <cell r="E870" t="str">
            <v>CP2288</v>
          </cell>
          <cell r="F870" t="str">
            <v>6.2.19.</v>
          </cell>
          <cell r="G870" t="str">
            <v xml:space="preserve">Conexões em polipropileno, pressão nominal de 10 kg/cm², TUBELLI ou similar Joelho 45° soldável DN 20  </v>
          </cell>
          <cell r="H870" t="str">
            <v xml:space="preserve">pç    </v>
          </cell>
          <cell r="I870">
            <v>2</v>
          </cell>
          <cell r="J870">
            <v>2.14</v>
          </cell>
          <cell r="K870">
            <v>3.05</v>
          </cell>
          <cell r="L870">
            <v>4.28</v>
          </cell>
        </row>
        <row r="871">
          <cell r="D871" t="str">
            <v xml:space="preserve">  D. 71.            </v>
          </cell>
          <cell r="E871" t="str">
            <v>CP1742</v>
          </cell>
          <cell r="F871" t="str">
            <v>6.2.20.</v>
          </cell>
          <cell r="G871" t="str">
            <v xml:space="preserve">Conexões em polipropileno, pressão nominal de 10 kg/cm², TUBELLI ou similar Luva de redução soldável DN 160 x 110  </v>
          </cell>
          <cell r="H871" t="str">
            <v xml:space="preserve">pç    </v>
          </cell>
          <cell r="I871">
            <v>1</v>
          </cell>
          <cell r="J871">
            <v>39.47</v>
          </cell>
          <cell r="K871">
            <v>33.14</v>
          </cell>
          <cell r="L871">
            <v>39.47</v>
          </cell>
        </row>
        <row r="872">
          <cell r="D872" t="str">
            <v xml:space="preserve">  D. 72.            </v>
          </cell>
          <cell r="E872" t="str">
            <v>CP1829</v>
          </cell>
          <cell r="F872" t="str">
            <v>6.2.21.</v>
          </cell>
          <cell r="G872" t="str">
            <v xml:space="preserve">Conexões em polipropileno, pressão nominal de 10 kg/cm², TUBELLI ou similar Luva de redução soldável DN 110 x 75  </v>
          </cell>
          <cell r="H872" t="str">
            <v xml:space="preserve">pç    </v>
          </cell>
          <cell r="I872">
            <v>1</v>
          </cell>
          <cell r="J872">
            <v>18.05</v>
          </cell>
          <cell r="K872">
            <v>18.690000000000001</v>
          </cell>
          <cell r="L872">
            <v>18.05</v>
          </cell>
        </row>
        <row r="873">
          <cell r="D873" t="str">
            <v xml:space="preserve">  D. 73.            </v>
          </cell>
          <cell r="E873" t="str">
            <v>CP1907</v>
          </cell>
          <cell r="F873" t="str">
            <v>6.2.22.</v>
          </cell>
          <cell r="G873" t="str">
            <v xml:space="preserve">Conexões em polipropileno, pressão nominal de 10 kg/cm², TUBELLI ou similar Luva de redução soldável DN 75 x 60  </v>
          </cell>
          <cell r="H873" t="str">
            <v xml:space="preserve">pç    </v>
          </cell>
          <cell r="I873">
            <v>1</v>
          </cell>
          <cell r="J873">
            <v>6.62</v>
          </cell>
          <cell r="K873">
            <v>5.54</v>
          </cell>
          <cell r="L873">
            <v>6.62</v>
          </cell>
        </row>
        <row r="874">
          <cell r="D874" t="str">
            <v xml:space="preserve">  D. 74.            </v>
          </cell>
          <cell r="E874" t="str">
            <v>CP1937</v>
          </cell>
          <cell r="F874" t="str">
            <v>6.2.23.</v>
          </cell>
          <cell r="G874" t="str">
            <v xml:space="preserve">Conexões em polipropileno, pressão nominal de 10 kg/cm², TUBELLI ou similar Luva de redução soldável DN 75 x 25  </v>
          </cell>
          <cell r="H874" t="str">
            <v xml:space="preserve">pç    </v>
          </cell>
          <cell r="I874">
            <v>1</v>
          </cell>
          <cell r="J874">
            <v>5.38</v>
          </cell>
          <cell r="K874">
            <v>4.51</v>
          </cell>
          <cell r="L874">
            <v>5.38</v>
          </cell>
        </row>
        <row r="875">
          <cell r="D875" t="str">
            <v xml:space="preserve">  D. 75.            </v>
          </cell>
          <cell r="E875" t="str">
            <v>CP2063</v>
          </cell>
          <cell r="F875" t="str">
            <v>6.2.24.</v>
          </cell>
          <cell r="G875" t="str">
            <v xml:space="preserve">Conexões em polipropileno, pressão nominal de 10 kg/cm², TUBELLI ou similar Luva de redução soldável DN 60 x 32  </v>
          </cell>
          <cell r="H875" t="str">
            <v xml:space="preserve">pç    </v>
          </cell>
          <cell r="I875">
            <v>2</v>
          </cell>
          <cell r="J875">
            <v>10.54</v>
          </cell>
          <cell r="K875">
            <v>15.06</v>
          </cell>
          <cell r="L875">
            <v>21.08</v>
          </cell>
        </row>
        <row r="876">
          <cell r="D876" t="str">
            <v xml:space="preserve">  D. 76.            </v>
          </cell>
          <cell r="E876" t="str">
            <v>CP3003</v>
          </cell>
          <cell r="F876" t="str">
            <v>6.2.25.</v>
          </cell>
          <cell r="G876" t="str">
            <v xml:space="preserve">Conexões em polipropileno, pressão nominal de 10 kg/cm², TUBELLI ou similar Luva de redução soldável DN 60 x 20  </v>
          </cell>
          <cell r="H876" t="str">
            <v xml:space="preserve">pç    </v>
          </cell>
          <cell r="I876">
            <v>4</v>
          </cell>
          <cell r="J876">
            <v>10.39</v>
          </cell>
          <cell r="K876">
            <v>14.84</v>
          </cell>
          <cell r="L876">
            <v>41.56</v>
          </cell>
        </row>
        <row r="877">
          <cell r="D877" t="str">
            <v xml:space="preserve">  D. 77.            </v>
          </cell>
          <cell r="E877" t="str">
            <v>CP2232</v>
          </cell>
          <cell r="F877" t="str">
            <v>6.2.26.</v>
          </cell>
          <cell r="G877" t="str">
            <v xml:space="preserve">Conexões em polipropileno, pressão nominal de 10 kg/cm², TUBELLI ou similar Luva de redução soldável DN 32 x 20  </v>
          </cell>
          <cell r="H877" t="str">
            <v xml:space="preserve">pç    </v>
          </cell>
          <cell r="I877">
            <v>6</v>
          </cell>
          <cell r="J877">
            <v>4.13</v>
          </cell>
          <cell r="K877">
            <v>5.9</v>
          </cell>
          <cell r="L877">
            <v>24.78</v>
          </cell>
        </row>
        <row r="878">
          <cell r="D878" t="str">
            <v xml:space="preserve">  D. 78.            </v>
          </cell>
          <cell r="E878" t="str">
            <v>CP1865</v>
          </cell>
          <cell r="F878" t="str">
            <v>6.2.27.</v>
          </cell>
          <cell r="G878" t="str">
            <v xml:space="preserve">Conexões em polipropileno, pressão nominal de 10 kg/cm², TUBELLI ou similar Tê soldável DN 85  </v>
          </cell>
          <cell r="H878" t="str">
            <v xml:space="preserve">pç    </v>
          </cell>
          <cell r="I878">
            <v>4</v>
          </cell>
          <cell r="J878">
            <v>34.619999999999997</v>
          </cell>
          <cell r="K878">
            <v>29.05</v>
          </cell>
          <cell r="L878">
            <v>138.47999999999999</v>
          </cell>
        </row>
        <row r="879">
          <cell r="D879" t="str">
            <v xml:space="preserve">  D. 79.            </v>
          </cell>
          <cell r="E879" t="str">
            <v>CP0726</v>
          </cell>
          <cell r="F879" t="str">
            <v>6.2.28.</v>
          </cell>
          <cell r="G879" t="str">
            <v xml:space="preserve">Conexões em polipropileno, pressão nominal de 10 kg/cm², TUBELLI ou similar Tê soldável DN 75  </v>
          </cell>
          <cell r="H879" t="str">
            <v xml:space="preserve">pç    </v>
          </cell>
          <cell r="I879">
            <v>6</v>
          </cell>
          <cell r="J879">
            <v>14.58</v>
          </cell>
          <cell r="K879">
            <v>12.21</v>
          </cell>
          <cell r="L879">
            <v>87.48</v>
          </cell>
        </row>
        <row r="880">
          <cell r="D880" t="str">
            <v xml:space="preserve">  D. 80.            </v>
          </cell>
          <cell r="E880" t="str">
            <v>CP2051</v>
          </cell>
          <cell r="F880" t="str">
            <v>6.2.29.</v>
          </cell>
          <cell r="G880" t="str">
            <v xml:space="preserve">Conexões em polipropileno, pressão nominal de 10 kg/cm², TUBELLI ou similar Tê soldável DN 60  </v>
          </cell>
          <cell r="H880" t="str">
            <v xml:space="preserve">pç    </v>
          </cell>
          <cell r="I880">
            <v>6</v>
          </cell>
          <cell r="J880">
            <v>10.63</v>
          </cell>
          <cell r="K880">
            <v>8.93</v>
          </cell>
          <cell r="L880">
            <v>63.78</v>
          </cell>
        </row>
        <row r="881">
          <cell r="D881" t="str">
            <v xml:space="preserve">  D. 81.            </v>
          </cell>
          <cell r="E881" t="str">
            <v>CP0721</v>
          </cell>
          <cell r="F881" t="str">
            <v>6.2.30.</v>
          </cell>
          <cell r="G881" t="str">
            <v xml:space="preserve">Conexões em polipropileno, pressão nominal de 10 kg/cm², TUBELLI ou similar Tê soldável DN 32  </v>
          </cell>
          <cell r="H881" t="str">
            <v xml:space="preserve">pç    </v>
          </cell>
          <cell r="I881">
            <v>17</v>
          </cell>
          <cell r="J881">
            <v>3.37</v>
          </cell>
          <cell r="K881">
            <v>4.59</v>
          </cell>
          <cell r="L881">
            <v>57.29</v>
          </cell>
        </row>
        <row r="882">
          <cell r="D882" t="str">
            <v xml:space="preserve">  D. 82.            </v>
          </cell>
          <cell r="E882" t="str">
            <v>CP2264</v>
          </cell>
          <cell r="F882" t="str">
            <v>6.2.31.</v>
          </cell>
          <cell r="G882" t="str">
            <v xml:space="preserve">Conexões em polipropileno, pressão nominal de 10 kg/cm², TUBELLI ou similar Tê soldável DN 20  </v>
          </cell>
          <cell r="H882" t="str">
            <v xml:space="preserve">pç    </v>
          </cell>
          <cell r="I882">
            <v>22</v>
          </cell>
          <cell r="J882">
            <v>2.31</v>
          </cell>
          <cell r="K882">
            <v>3.3</v>
          </cell>
          <cell r="L882">
            <v>50.82</v>
          </cell>
        </row>
        <row r="883">
          <cell r="D883" t="str">
            <v xml:space="preserve">  D. 83.            </v>
          </cell>
          <cell r="E883" t="str">
            <v>CP1643</v>
          </cell>
          <cell r="F883" t="str">
            <v>6.2.32.</v>
          </cell>
          <cell r="G883" t="str">
            <v xml:space="preserve">Conexões em polipropileno, pressão nominal de 10 kg/cm², TUBELLI ou similar Tê de redução soldável DN 160 x 110  </v>
          </cell>
          <cell r="H883" t="str">
            <v xml:space="preserve">pç    </v>
          </cell>
          <cell r="I883">
            <v>1</v>
          </cell>
          <cell r="J883">
            <v>161.99</v>
          </cell>
          <cell r="K883">
            <v>228.95</v>
          </cell>
          <cell r="L883">
            <v>161.99</v>
          </cell>
        </row>
        <row r="884">
          <cell r="D884" t="str">
            <v xml:space="preserve">  D. 84.            </v>
          </cell>
          <cell r="E884" t="str">
            <v>CP1765</v>
          </cell>
          <cell r="F884" t="str">
            <v>6.2.33.</v>
          </cell>
          <cell r="G884" t="str">
            <v xml:space="preserve">Conexões em polipropileno, pressão nominal de 10 kg/cm², TUBELLI ou similar Tê de redução soldável DN 85 x 20  </v>
          </cell>
          <cell r="H884" t="str">
            <v xml:space="preserve">pç    </v>
          </cell>
          <cell r="I884">
            <v>1</v>
          </cell>
          <cell r="J884">
            <v>29.78</v>
          </cell>
          <cell r="K884">
            <v>37.4</v>
          </cell>
          <cell r="L884">
            <v>29.78</v>
          </cell>
        </row>
        <row r="885">
          <cell r="D885" t="str">
            <v xml:space="preserve">  D. 85.            </v>
          </cell>
          <cell r="E885" t="str">
            <v>CP2118</v>
          </cell>
          <cell r="F885" t="str">
            <v>6.2.34.</v>
          </cell>
          <cell r="G885" t="str">
            <v xml:space="preserve">Conexões em polipropileno, pressão nominal de 10 kg/cm², TUBELLI ou similar Tê de redução soldável DN 32 x 20  </v>
          </cell>
          <cell r="H885" t="str">
            <v xml:space="preserve">pç    </v>
          </cell>
          <cell r="I885">
            <v>2</v>
          </cell>
          <cell r="J885">
            <v>3.12</v>
          </cell>
          <cell r="K885">
            <v>4.4000000000000004</v>
          </cell>
          <cell r="L885">
            <v>6.24</v>
          </cell>
        </row>
        <row r="886">
          <cell r="D886" t="str">
            <v xml:space="preserve">  D. 86.            </v>
          </cell>
          <cell r="E886" t="str">
            <v>CP2160</v>
          </cell>
          <cell r="F886" t="str">
            <v>6.2.35.</v>
          </cell>
          <cell r="G886" t="str">
            <v xml:space="preserve">Conexões em polipropileno, pressão nominal de 10 kg/cm², TUBELLI ou similar Tê de redução soldável DN 25 x 20  </v>
          </cell>
          <cell r="H886" t="str">
            <v xml:space="preserve">pç    </v>
          </cell>
          <cell r="I886">
            <v>2</v>
          </cell>
          <cell r="J886">
            <v>2.58</v>
          </cell>
          <cell r="K886">
            <v>3.65</v>
          </cell>
          <cell r="L886">
            <v>5.16</v>
          </cell>
        </row>
        <row r="887">
          <cell r="D887" t="str">
            <v xml:space="preserve">  D. 87.            </v>
          </cell>
          <cell r="E887" t="str">
            <v>CP1885</v>
          </cell>
          <cell r="F887" t="str">
            <v>6.2.36.</v>
          </cell>
          <cell r="G887" t="str">
            <v xml:space="preserve">Conexões em polipropileno, pressão nominal de 10 kg/cm², TUBELLI ou similar União soldável DN 85  </v>
          </cell>
          <cell r="H887" t="str">
            <v xml:space="preserve">pç    </v>
          </cell>
          <cell r="I887">
            <v>2</v>
          </cell>
          <cell r="J887">
            <v>5.3</v>
          </cell>
          <cell r="K887">
            <v>123.78</v>
          </cell>
          <cell r="L887">
            <v>10.6</v>
          </cell>
        </row>
        <row r="888">
          <cell r="D888" t="str">
            <v xml:space="preserve">  D. 88.            </v>
          </cell>
          <cell r="E888" t="str">
            <v>CP1908</v>
          </cell>
          <cell r="F888" t="str">
            <v>6.2.37.</v>
          </cell>
          <cell r="G888" t="str">
            <v xml:space="preserve">Conexões em polipropileno, pressão nominal de 10 kg/cm², TUBELLI ou similar União soldável DN 75  </v>
          </cell>
          <cell r="H888" t="str">
            <v xml:space="preserve">pç    </v>
          </cell>
          <cell r="I888">
            <v>5</v>
          </cell>
          <cell r="J888">
            <v>20.2</v>
          </cell>
          <cell r="K888">
            <v>22.88</v>
          </cell>
          <cell r="L888">
            <v>101</v>
          </cell>
        </row>
        <row r="889">
          <cell r="D889" t="str">
            <v xml:space="preserve">  D. 89.            </v>
          </cell>
          <cell r="E889" t="str">
            <v>CP1934</v>
          </cell>
          <cell r="F889" t="str">
            <v>6.2.38.</v>
          </cell>
          <cell r="G889" t="str">
            <v xml:space="preserve">Conexões em polipropileno, pressão nominal de 10 kg/cm², TUBELLI ou similar União soldável DN 60  </v>
          </cell>
          <cell r="H889" t="str">
            <v xml:space="preserve">pç    </v>
          </cell>
          <cell r="I889">
            <v>4</v>
          </cell>
          <cell r="J889">
            <v>14.91</v>
          </cell>
          <cell r="K889">
            <v>12.46</v>
          </cell>
          <cell r="L889">
            <v>59.64</v>
          </cell>
        </row>
        <row r="890">
          <cell r="D890" t="str">
            <v xml:space="preserve">  D. 90.            </v>
          </cell>
          <cell r="E890" t="str">
            <v>CP0719</v>
          </cell>
          <cell r="F890" t="str">
            <v>6.2.39.</v>
          </cell>
          <cell r="G890" t="str">
            <v xml:space="preserve">Conexões em polipropileno, pressão nominal de 10 kg/cm², TUBELLI ou similar União soldável DN 32  </v>
          </cell>
          <cell r="H890" t="str">
            <v xml:space="preserve">pç    </v>
          </cell>
          <cell r="I890">
            <v>17</v>
          </cell>
          <cell r="J890">
            <v>5.27</v>
          </cell>
          <cell r="K890">
            <v>4.41</v>
          </cell>
          <cell r="L890">
            <v>89.59</v>
          </cell>
        </row>
        <row r="891">
          <cell r="D891" t="str">
            <v xml:space="preserve">  D. 91.            </v>
          </cell>
          <cell r="E891" t="str">
            <v>CP2344</v>
          </cell>
          <cell r="F891" t="str">
            <v>6.2.40.</v>
          </cell>
          <cell r="G891" t="str">
            <v xml:space="preserve">Conexões em polipropileno, pressão nominal de 10 kg/cm², TUBELLI ou similar União soldável DN 20  </v>
          </cell>
          <cell r="H891" t="str">
            <v xml:space="preserve">pç    </v>
          </cell>
          <cell r="I891">
            <v>24</v>
          </cell>
          <cell r="J891">
            <v>9.16</v>
          </cell>
          <cell r="K891">
            <v>13.09</v>
          </cell>
          <cell r="L891">
            <v>219.84</v>
          </cell>
        </row>
        <row r="892">
          <cell r="D892" t="str">
            <v xml:space="preserve">  D. 92.            </v>
          </cell>
          <cell r="E892" t="str">
            <v xml:space="preserve">      </v>
          </cell>
          <cell r="F892" t="str">
            <v>6.3.</v>
          </cell>
          <cell r="G892" t="str">
            <v xml:space="preserve">Adaptador soldável curto com bolsa e rosca p/ registro  </v>
          </cell>
          <cell r="H892" t="str">
            <v xml:space="preserve">      </v>
          </cell>
          <cell r="I892">
            <v>0</v>
          </cell>
          <cell r="J892">
            <v>0</v>
          </cell>
          <cell r="K892">
            <v>0</v>
          </cell>
          <cell r="L892">
            <v>0</v>
          </cell>
        </row>
        <row r="893">
          <cell r="D893" t="str">
            <v xml:space="preserve">  D. 93.            </v>
          </cell>
          <cell r="E893" t="str">
            <v>CP1797</v>
          </cell>
          <cell r="F893" t="str">
            <v>6.3.1.</v>
          </cell>
          <cell r="G893" t="str">
            <v xml:space="preserve">Adaptador soldável curto com bolsa e rosca p/ registro DN 75 x 2 1/2  </v>
          </cell>
          <cell r="H893" t="str">
            <v xml:space="preserve">pç    </v>
          </cell>
          <cell r="I893">
            <v>2</v>
          </cell>
          <cell r="J893">
            <v>5.91</v>
          </cell>
          <cell r="K893">
            <v>4.93</v>
          </cell>
          <cell r="L893">
            <v>11.82</v>
          </cell>
        </row>
        <row r="894">
          <cell r="D894" t="str">
            <v xml:space="preserve">  D. 94.            </v>
          </cell>
          <cell r="E894" t="str">
            <v>CP2247</v>
          </cell>
          <cell r="F894" t="str">
            <v>6.3.2.</v>
          </cell>
          <cell r="G894" t="str">
            <v xml:space="preserve">Adaptador soldável curto com bolsa e rosca p/ registro DN 25 x 3/4  </v>
          </cell>
          <cell r="H894" t="str">
            <v xml:space="preserve">pç    </v>
          </cell>
          <cell r="I894">
            <v>1</v>
          </cell>
          <cell r="J894">
            <v>0.13</v>
          </cell>
          <cell r="K894">
            <v>0.11</v>
          </cell>
          <cell r="L894">
            <v>0.13</v>
          </cell>
        </row>
        <row r="895">
          <cell r="D895" t="str">
            <v xml:space="preserve">  D. 95.            </v>
          </cell>
          <cell r="E895" t="str">
            <v xml:space="preserve">      </v>
          </cell>
          <cell r="F895" t="str">
            <v>6.4.</v>
          </cell>
          <cell r="G895" t="str">
            <v xml:space="preserve">Tubos em aço carbono sem costura, roscável SCHEDULE 40, zincados, MANNESMANN ou similar  </v>
          </cell>
          <cell r="H895" t="str">
            <v xml:space="preserve">      </v>
          </cell>
          <cell r="I895">
            <v>0</v>
          </cell>
          <cell r="J895">
            <v>0</v>
          </cell>
          <cell r="K895">
            <v>0</v>
          </cell>
          <cell r="L895">
            <v>0</v>
          </cell>
        </row>
        <row r="896">
          <cell r="D896" t="str">
            <v xml:space="preserve">  D. 96.            </v>
          </cell>
          <cell r="E896" t="str">
            <v>CP2013</v>
          </cell>
          <cell r="F896" t="str">
            <v>6.4.1.</v>
          </cell>
          <cell r="G896" t="str">
            <v xml:space="preserve">Tubos em aço carbono sem costura, roscável SCHEDULE 40, zincados, MANNESMANN ou similar Tubo ø 3/4  </v>
          </cell>
          <cell r="H896" t="str">
            <v xml:space="preserve">m     </v>
          </cell>
          <cell r="I896">
            <v>8</v>
          </cell>
          <cell r="J896">
            <v>16.440000000000001</v>
          </cell>
          <cell r="K896">
            <v>21.15</v>
          </cell>
          <cell r="L896">
            <v>131.52000000000001</v>
          </cell>
        </row>
        <row r="897">
          <cell r="D897" t="str">
            <v xml:space="preserve">  D. 97.            </v>
          </cell>
          <cell r="E897" t="str">
            <v>CP2044</v>
          </cell>
          <cell r="F897" t="str">
            <v>6.4.2.</v>
          </cell>
          <cell r="G897" t="str">
            <v xml:space="preserve">Tubos em aço carbono sem costura, roscável SCHEDULE 40, zincados, MANNESMANN ou similar Tubo ø 1/2  </v>
          </cell>
          <cell r="H897" t="str">
            <v xml:space="preserve">m     </v>
          </cell>
          <cell r="I897">
            <v>64</v>
          </cell>
          <cell r="J897">
            <v>13.94</v>
          </cell>
          <cell r="K897">
            <v>18.829999999999998</v>
          </cell>
          <cell r="L897">
            <v>892.16</v>
          </cell>
        </row>
        <row r="898">
          <cell r="D898" t="str">
            <v xml:space="preserve">  D. 98.            </v>
          </cell>
          <cell r="E898" t="str">
            <v xml:space="preserve">      </v>
          </cell>
          <cell r="F898" t="str">
            <v>6.5.</v>
          </cell>
          <cell r="G898" t="str">
            <v xml:space="preserve">Conexões em ferro maleável, classe 10 zincadas, TUPY ou similar:  </v>
          </cell>
          <cell r="H898" t="str">
            <v xml:space="preserve">      </v>
          </cell>
          <cell r="I898">
            <v>0</v>
          </cell>
          <cell r="J898">
            <v>0</v>
          </cell>
          <cell r="K898">
            <v>0</v>
          </cell>
          <cell r="L898">
            <v>0</v>
          </cell>
        </row>
        <row r="899">
          <cell r="D899" t="str">
            <v xml:space="preserve">  D. 99.            </v>
          </cell>
          <cell r="E899" t="str">
            <v>CP0947</v>
          </cell>
          <cell r="F899" t="str">
            <v>6.5.1.</v>
          </cell>
          <cell r="G899" t="str">
            <v xml:space="preserve">Conexões em ferro maleável, classe 10 zincadas, TUPY ou similar: Bucha de redução c/ rosca ø 3/4 x 1/2  </v>
          </cell>
          <cell r="H899" t="str">
            <v xml:space="preserve">pç    </v>
          </cell>
          <cell r="I899">
            <v>7</v>
          </cell>
          <cell r="J899">
            <v>2.27</v>
          </cell>
          <cell r="K899">
            <v>1.9</v>
          </cell>
          <cell r="L899">
            <v>15.89</v>
          </cell>
        </row>
        <row r="900">
          <cell r="D900" t="str">
            <v xml:space="preserve">  D.100.            </v>
          </cell>
          <cell r="E900" t="str">
            <v>CP2242</v>
          </cell>
          <cell r="F900" t="str">
            <v>6.5.2.</v>
          </cell>
          <cell r="G900" t="str">
            <v xml:space="preserve">Conexões em ferro maleável, classe 10 zincadas, TUPY ou similar: Cotovelo 90° com rosca ø 3/4  </v>
          </cell>
          <cell r="H900" t="str">
            <v xml:space="preserve">pç    </v>
          </cell>
          <cell r="I900">
            <v>10</v>
          </cell>
          <cell r="J900">
            <v>1.82</v>
          </cell>
          <cell r="K900">
            <v>1.52</v>
          </cell>
          <cell r="L900">
            <v>18.2</v>
          </cell>
        </row>
        <row r="901">
          <cell r="D901" t="str">
            <v xml:space="preserve">  D.101.            </v>
          </cell>
          <cell r="E901" t="str">
            <v>CP2266</v>
          </cell>
          <cell r="F901" t="str">
            <v>6.5.3.</v>
          </cell>
          <cell r="G901" t="str">
            <v xml:space="preserve">Conexões em ferro maleável, classe 10 zincadas, TUPY ou similar: Cotovelo 90° com rosca ø 1/2  </v>
          </cell>
          <cell r="H901" t="str">
            <v xml:space="preserve">pç    </v>
          </cell>
          <cell r="I901">
            <v>35</v>
          </cell>
          <cell r="J901">
            <v>1.1299999999999999</v>
          </cell>
          <cell r="K901">
            <v>0.94</v>
          </cell>
          <cell r="L901">
            <v>39.549999999999997</v>
          </cell>
        </row>
        <row r="902">
          <cell r="D902" t="str">
            <v xml:space="preserve">  D.102.            </v>
          </cell>
          <cell r="E902" t="str">
            <v>CP0775</v>
          </cell>
          <cell r="F902" t="str">
            <v>6.5.4.</v>
          </cell>
          <cell r="G902" t="str">
            <v xml:space="preserve">Conexões em ferro maleável, classe 10 zincadas, TUPY ou similar: Niple duplo com rosca ø 3/4  </v>
          </cell>
          <cell r="H902" t="str">
            <v xml:space="preserve">pç    </v>
          </cell>
          <cell r="I902">
            <v>6</v>
          </cell>
          <cell r="J902">
            <v>1.62</v>
          </cell>
          <cell r="K902">
            <v>1.95</v>
          </cell>
          <cell r="L902">
            <v>9.7200000000000006</v>
          </cell>
        </row>
        <row r="903">
          <cell r="D903" t="str">
            <v xml:space="preserve">  D.103.            </v>
          </cell>
          <cell r="E903" t="str">
            <v>CP0938</v>
          </cell>
          <cell r="F903" t="str">
            <v>6.5.5.</v>
          </cell>
          <cell r="G903" t="str">
            <v xml:space="preserve">Conexões em ferro maleável, classe 10 zincadas, TUPY ou similar: Niple duplo com rosca ø 1/2  </v>
          </cell>
          <cell r="H903" t="str">
            <v xml:space="preserve">pç    </v>
          </cell>
          <cell r="I903">
            <v>14</v>
          </cell>
          <cell r="J903">
            <v>1.62</v>
          </cell>
          <cell r="K903">
            <v>1.35</v>
          </cell>
          <cell r="L903">
            <v>22.68</v>
          </cell>
        </row>
        <row r="904">
          <cell r="D904" t="str">
            <v xml:space="preserve">  D.104.            </v>
          </cell>
          <cell r="E904" t="str">
            <v>CP0749</v>
          </cell>
          <cell r="F904" t="str">
            <v>6.5.6.</v>
          </cell>
          <cell r="G904" t="str">
            <v xml:space="preserve">Conexões em ferro maleável, classe 10 zincadas, TUPY ou similar: Tê com rosca ø 3/4  </v>
          </cell>
          <cell r="H904" t="str">
            <v xml:space="preserve">pç    </v>
          </cell>
          <cell r="I904">
            <v>3</v>
          </cell>
          <cell r="J904">
            <v>2.02</v>
          </cell>
          <cell r="K904">
            <v>1.69</v>
          </cell>
          <cell r="L904">
            <v>6.06</v>
          </cell>
        </row>
        <row r="905">
          <cell r="D905" t="str">
            <v xml:space="preserve">  D.105.            </v>
          </cell>
          <cell r="E905" t="str">
            <v>CP2249</v>
          </cell>
          <cell r="F905" t="str">
            <v>6.5.7.</v>
          </cell>
          <cell r="G905" t="str">
            <v xml:space="preserve">Conexões em ferro maleável, classe 10 zincadas, TUPY ou similar: Tê com rosca ø 1/2  </v>
          </cell>
          <cell r="H905" t="str">
            <v xml:space="preserve">pç    </v>
          </cell>
          <cell r="I905">
            <v>12</v>
          </cell>
          <cell r="J905">
            <v>1.34</v>
          </cell>
          <cell r="K905">
            <v>1.1299999999999999</v>
          </cell>
          <cell r="L905">
            <v>16.079999999999998</v>
          </cell>
        </row>
        <row r="906">
          <cell r="D906" t="str">
            <v xml:space="preserve">  D.106.            </v>
          </cell>
          <cell r="E906" t="str">
            <v>CP2197</v>
          </cell>
          <cell r="F906" t="str">
            <v>6.5.8.</v>
          </cell>
          <cell r="G906" t="str">
            <v xml:space="preserve">Conexões em ferro maleável, classe 10 zincadas, TUPY ou similar: Tê de redução com rosca ø 3/4 x 1/2  </v>
          </cell>
          <cell r="H906" t="str">
            <v xml:space="preserve">pç    </v>
          </cell>
          <cell r="I906">
            <v>3</v>
          </cell>
          <cell r="J906">
            <v>4.6399999999999997</v>
          </cell>
          <cell r="K906">
            <v>5.66</v>
          </cell>
          <cell r="L906">
            <v>13.92</v>
          </cell>
        </row>
        <row r="907">
          <cell r="D907" t="str">
            <v xml:space="preserve">  D.107.            </v>
          </cell>
          <cell r="E907" t="str">
            <v>CP0919</v>
          </cell>
          <cell r="F907" t="str">
            <v>6.5.9.</v>
          </cell>
          <cell r="G907" t="str">
            <v xml:space="preserve">Conexões em ferro maleável, classe 10 zincadas, TUPY ou similar: União com rosca ø 3/4  </v>
          </cell>
          <cell r="H907" t="str">
            <v xml:space="preserve">pç    </v>
          </cell>
          <cell r="I907">
            <v>1</v>
          </cell>
          <cell r="J907">
            <v>5.65</v>
          </cell>
          <cell r="K907">
            <v>4.72</v>
          </cell>
          <cell r="L907">
            <v>5.65</v>
          </cell>
        </row>
        <row r="908">
          <cell r="D908" t="str">
            <v xml:space="preserve">  D.108.            </v>
          </cell>
          <cell r="E908" t="str">
            <v>CP0923</v>
          </cell>
          <cell r="F908" t="str">
            <v>6.5.10.</v>
          </cell>
          <cell r="G908" t="str">
            <v xml:space="preserve">Conexões em ferro maleável, classe 10 zincadas, TUPY ou similar: União com rosca ø 1/2  </v>
          </cell>
          <cell r="H908" t="str">
            <v xml:space="preserve">pç    </v>
          </cell>
          <cell r="I908">
            <v>5</v>
          </cell>
          <cell r="J908">
            <v>3.97</v>
          </cell>
          <cell r="K908">
            <v>3.32</v>
          </cell>
          <cell r="L908">
            <v>19.850000000000001</v>
          </cell>
        </row>
        <row r="909">
          <cell r="D909" t="str">
            <v xml:space="preserve">  D.109.            </v>
          </cell>
          <cell r="E909" t="str">
            <v xml:space="preserve">      </v>
          </cell>
          <cell r="F909" t="str">
            <v>6.6.</v>
          </cell>
          <cell r="G909" t="str">
            <v xml:space="preserve">Conexões em PVC rígido TIGRE ou similar  </v>
          </cell>
          <cell r="H909" t="str">
            <v xml:space="preserve">      </v>
          </cell>
          <cell r="I909">
            <v>0</v>
          </cell>
          <cell r="J909">
            <v>0</v>
          </cell>
          <cell r="K909">
            <v>0</v>
          </cell>
          <cell r="L909">
            <v>0</v>
          </cell>
        </row>
        <row r="910">
          <cell r="D910" t="str">
            <v xml:space="preserve">  D.110.            </v>
          </cell>
          <cell r="E910" t="str">
            <v>CP2018</v>
          </cell>
          <cell r="F910" t="str">
            <v>6.6.1.</v>
          </cell>
          <cell r="G910" t="str">
            <v xml:space="preserve">Conexões em PVC rígido TIGRE ou similar Adaptador soldável longo, com flange livre para caixa d'água DN 75  </v>
          </cell>
          <cell r="H910" t="str">
            <v xml:space="preserve">pç    </v>
          </cell>
          <cell r="I910">
            <v>1</v>
          </cell>
          <cell r="J910">
            <v>99.81</v>
          </cell>
          <cell r="K910">
            <v>122.41</v>
          </cell>
          <cell r="L910">
            <v>99.81</v>
          </cell>
        </row>
        <row r="911">
          <cell r="D911" t="str">
            <v xml:space="preserve">  D.111.            </v>
          </cell>
          <cell r="E911" t="str">
            <v>CP2076</v>
          </cell>
          <cell r="F911" t="str">
            <v>6.6.2.</v>
          </cell>
          <cell r="G911" t="str">
            <v xml:space="preserve">Conexões em PVC rígido TIGRE ou similar Adaptador soldável longo c/ flanges livres para caixa d'água DN 60  </v>
          </cell>
          <cell r="H911" t="str">
            <v xml:space="preserve">pç    </v>
          </cell>
          <cell r="I911">
            <v>2</v>
          </cell>
          <cell r="J911">
            <v>29.32</v>
          </cell>
          <cell r="K911">
            <v>29.74</v>
          </cell>
          <cell r="L911">
            <v>58.64</v>
          </cell>
        </row>
        <row r="912">
          <cell r="D912" t="str">
            <v xml:space="preserve">  D.112.            </v>
          </cell>
          <cell r="E912" t="str">
            <v xml:space="preserve">      </v>
          </cell>
          <cell r="F912" t="str">
            <v>7.</v>
          </cell>
          <cell r="G912" t="str">
            <v xml:space="preserve">Assentamento de Materiais para Instalações de Processo  </v>
          </cell>
          <cell r="H912" t="str">
            <v xml:space="preserve">      </v>
          </cell>
          <cell r="I912">
            <v>0</v>
          </cell>
          <cell r="J912">
            <v>0</v>
          </cell>
          <cell r="K912">
            <v>0</v>
          </cell>
          <cell r="L912">
            <v>0</v>
          </cell>
        </row>
        <row r="913">
          <cell r="D913" t="str">
            <v xml:space="preserve">  D.113.            </v>
          </cell>
          <cell r="E913" t="str">
            <v xml:space="preserve">      </v>
          </cell>
          <cell r="F913" t="str">
            <v>7.1.</v>
          </cell>
          <cell r="G913" t="str">
            <v xml:space="preserve">Tubos e conexões em polipropileno soldáveis conforme norma DIN-8077, pressão nominal de 10 kg/cm², TUBELLI ou similar  </v>
          </cell>
          <cell r="H913" t="str">
            <v xml:space="preserve">      </v>
          </cell>
          <cell r="I913">
            <v>0</v>
          </cell>
          <cell r="J913">
            <v>0</v>
          </cell>
          <cell r="K913">
            <v>0</v>
          </cell>
          <cell r="L913">
            <v>0</v>
          </cell>
        </row>
        <row r="914">
          <cell r="D914" t="str">
            <v xml:space="preserve">  D.114.            </v>
          </cell>
          <cell r="E914" t="str">
            <v>CP4607</v>
          </cell>
          <cell r="F914" t="str">
            <v>7.1.1.</v>
          </cell>
          <cell r="G914" t="str">
            <v xml:space="preserve">Tubos e conexões em polipropileno soldáveis conforme norma DIN-8077, pressão nominal de 10 kg/cm², TUBELLI ou similar Tubo DN 160  </v>
          </cell>
          <cell r="H914" t="str">
            <v xml:space="preserve">m     </v>
          </cell>
          <cell r="I914">
            <v>5</v>
          </cell>
          <cell r="J914">
            <v>20.86</v>
          </cell>
          <cell r="K914">
            <v>29.8</v>
          </cell>
          <cell r="L914">
            <v>104.3</v>
          </cell>
        </row>
        <row r="915">
          <cell r="D915" t="str">
            <v xml:space="preserve">  D.115.            </v>
          </cell>
          <cell r="E915" t="str">
            <v>CP0163</v>
          </cell>
          <cell r="F915" t="str">
            <v>7.1.2.</v>
          </cell>
          <cell r="G915" t="str">
            <v xml:space="preserve">Tubos e conexões em polipropileno soldáveis conforme norma DIN-8077, pressão nominal de 10 kg/cm², TUBELLI ou similar Tubo DN 85  </v>
          </cell>
          <cell r="H915" t="str">
            <v xml:space="preserve">m     </v>
          </cell>
          <cell r="I915">
            <v>47</v>
          </cell>
          <cell r="J915">
            <v>6.66</v>
          </cell>
          <cell r="K915">
            <v>9.51</v>
          </cell>
          <cell r="L915">
            <v>313.02</v>
          </cell>
        </row>
        <row r="916">
          <cell r="D916" t="str">
            <v xml:space="preserve">  D.116.            </v>
          </cell>
          <cell r="E916" t="str">
            <v>CP1039</v>
          </cell>
          <cell r="F916" t="str">
            <v>7.1.3.</v>
          </cell>
          <cell r="G916" t="str">
            <v xml:space="preserve">Tubos e conexões em polipropileno soldáveis conforme norma DIN-8077, pressão nominal de 10 kg/cm², TUBELLI ou similar Tubo DN 75  </v>
          </cell>
          <cell r="H916" t="str">
            <v xml:space="preserve">m     </v>
          </cell>
          <cell r="I916">
            <v>30</v>
          </cell>
          <cell r="J916">
            <v>4.6500000000000004</v>
          </cell>
          <cell r="K916">
            <v>6.64</v>
          </cell>
          <cell r="L916">
            <v>139.5</v>
          </cell>
        </row>
        <row r="917">
          <cell r="D917" t="str">
            <v xml:space="preserve">  D.117.            </v>
          </cell>
          <cell r="E917" t="str">
            <v>CP0158</v>
          </cell>
          <cell r="F917" t="str">
            <v>7.1.4.</v>
          </cell>
          <cell r="G917" t="str">
            <v xml:space="preserve">Tubos e conexões em polipropileno soldáveis conforme norma DIN-8077, pressão nominal de 10 kg/cm², TUBELLI ou similar Tubo DN 60  </v>
          </cell>
          <cell r="H917" t="str">
            <v xml:space="preserve">m     </v>
          </cell>
          <cell r="I917">
            <v>8</v>
          </cell>
          <cell r="J917">
            <v>1.1299999999999999</v>
          </cell>
          <cell r="K917">
            <v>4.7</v>
          </cell>
          <cell r="L917">
            <v>9.0399999999999991</v>
          </cell>
        </row>
        <row r="918">
          <cell r="D918" t="str">
            <v xml:space="preserve">  D.118.            </v>
          </cell>
          <cell r="E918" t="str">
            <v>CP0155</v>
          </cell>
          <cell r="F918" t="str">
            <v>7.1.5.</v>
          </cell>
          <cell r="G918" t="str">
            <v xml:space="preserve">Tubos e conexões em polipropileno soldáveis conforme norma DIN-8077, pressão nominal de 10 kg/cm², TUBELLI ou similar Tubo DN 40  </v>
          </cell>
          <cell r="H918" t="str">
            <v xml:space="preserve">m     </v>
          </cell>
          <cell r="I918">
            <v>3</v>
          </cell>
          <cell r="J918">
            <v>1.34</v>
          </cell>
          <cell r="K918">
            <v>1.92</v>
          </cell>
          <cell r="L918">
            <v>4.0199999999999996</v>
          </cell>
        </row>
        <row r="919">
          <cell r="D919" t="str">
            <v xml:space="preserve">  D.119.            </v>
          </cell>
          <cell r="E919" t="str">
            <v>CP4609</v>
          </cell>
          <cell r="F919" t="str">
            <v>7.1.6.</v>
          </cell>
          <cell r="G919" t="str">
            <v xml:space="preserve">Tubos e conexões em polipropileno soldáveis conforme norma DIN-8077, pressão nominal de 10 kg/cm², TUBELLI ou similar Tubo DN 32  </v>
          </cell>
          <cell r="H919" t="str">
            <v xml:space="preserve">m     </v>
          </cell>
          <cell r="I919">
            <v>46</v>
          </cell>
          <cell r="J919">
            <v>1.34</v>
          </cell>
          <cell r="K919">
            <v>1.92</v>
          </cell>
          <cell r="L919">
            <v>61.64</v>
          </cell>
        </row>
        <row r="920">
          <cell r="D920" t="str">
            <v xml:space="preserve">  D.120.            </v>
          </cell>
          <cell r="E920" t="str">
            <v>CP4608</v>
          </cell>
          <cell r="F920" t="str">
            <v>7.1.7.</v>
          </cell>
          <cell r="G920" t="str">
            <v xml:space="preserve">Tubos e conexões em polipropileno soldáveis conforme norma DIN-8077, pressão nominal de 10 kg/cm², TUBELLI ou similar Tubo DN 25  </v>
          </cell>
          <cell r="H920" t="str">
            <v xml:space="preserve">m     </v>
          </cell>
          <cell r="I920">
            <v>1</v>
          </cell>
          <cell r="J920">
            <v>1.34</v>
          </cell>
          <cell r="K920">
            <v>1.92</v>
          </cell>
          <cell r="L920">
            <v>1.34</v>
          </cell>
        </row>
        <row r="921">
          <cell r="D921" t="str">
            <v xml:space="preserve">  D.121.            </v>
          </cell>
          <cell r="E921" t="str">
            <v>CP4608</v>
          </cell>
          <cell r="F921" t="str">
            <v>7.1.8.</v>
          </cell>
          <cell r="G921" t="str">
            <v xml:space="preserve">Tubos e conexões em polipropileno soldáveis conforme norma DIN-8077, pressão nominal de 10 kg/cm², TUBELLI ou similar Tubo DN 20  </v>
          </cell>
          <cell r="H921" t="str">
            <v xml:space="preserve">m     </v>
          </cell>
          <cell r="I921">
            <v>96</v>
          </cell>
          <cell r="J921">
            <v>1.34</v>
          </cell>
          <cell r="K921">
            <v>1.92</v>
          </cell>
          <cell r="L921">
            <v>128.63999999999999</v>
          </cell>
        </row>
        <row r="922">
          <cell r="D922" t="str">
            <v xml:space="preserve">  D.122.            </v>
          </cell>
          <cell r="E922" t="str">
            <v xml:space="preserve">      </v>
          </cell>
          <cell r="F922" t="str">
            <v>7.2.</v>
          </cell>
          <cell r="G922" t="str">
            <v xml:space="preserve">Tubos e conexões em aço carbono sem costura, roscável SCHEDULE 40, zincados, MANNESMANN ou similar  </v>
          </cell>
          <cell r="H922" t="str">
            <v xml:space="preserve">      </v>
          </cell>
          <cell r="I922">
            <v>0</v>
          </cell>
          <cell r="J922">
            <v>0</v>
          </cell>
          <cell r="K922">
            <v>0</v>
          </cell>
          <cell r="L922">
            <v>0</v>
          </cell>
        </row>
        <row r="923">
          <cell r="D923" t="str">
            <v xml:space="preserve">  D.123.            </v>
          </cell>
          <cell r="E923" t="str">
            <v>CP0161</v>
          </cell>
          <cell r="F923" t="str">
            <v>7.2.1.</v>
          </cell>
          <cell r="G923" t="str">
            <v xml:space="preserve">Tubos e conexões em aço carbono sem costura, roscável SCHEDULE 40, zincados, MANNESMANN ou similar Tubo ø 3/4  </v>
          </cell>
          <cell r="H923" t="str">
            <v xml:space="preserve">m     </v>
          </cell>
          <cell r="I923">
            <v>8</v>
          </cell>
          <cell r="J923">
            <v>1.88</v>
          </cell>
          <cell r="K923">
            <v>12.23</v>
          </cell>
          <cell r="L923">
            <v>15.04</v>
          </cell>
        </row>
        <row r="924">
          <cell r="D924" t="str">
            <v xml:space="preserve">  D.124.            </v>
          </cell>
          <cell r="E924" t="str">
            <v>CP0483</v>
          </cell>
          <cell r="F924" t="str">
            <v>7.2.2.</v>
          </cell>
          <cell r="G924" t="str">
            <v xml:space="preserve">Tubos e conexões em aço carbono sem costura, roscável SCHEDULE 40, zincados, MANNESMANN ou similar Tubo ø 1/2  </v>
          </cell>
          <cell r="H924" t="str">
            <v xml:space="preserve">m     </v>
          </cell>
          <cell r="I924">
            <v>64</v>
          </cell>
          <cell r="J924">
            <v>11.61</v>
          </cell>
          <cell r="K924">
            <v>9.68</v>
          </cell>
          <cell r="L924">
            <v>743.04</v>
          </cell>
        </row>
        <row r="925">
          <cell r="D925" t="str">
            <v xml:space="preserve">  D.125.            </v>
          </cell>
          <cell r="E925" t="str">
            <v xml:space="preserve">      </v>
          </cell>
          <cell r="F925" t="str">
            <v>8.</v>
          </cell>
          <cell r="G925" t="str">
            <v xml:space="preserve">Fornecimento de Equipamentos, Válvulas e Miscelâneas Diversas para Instalações de Processo  </v>
          </cell>
          <cell r="H925" t="str">
            <v xml:space="preserve">      </v>
          </cell>
          <cell r="I925">
            <v>0</v>
          </cell>
          <cell r="J925">
            <v>0</v>
          </cell>
          <cell r="K925">
            <v>0</v>
          </cell>
          <cell r="L925">
            <v>0</v>
          </cell>
        </row>
        <row r="926">
          <cell r="D926" t="str">
            <v xml:space="preserve">  D.126.            </v>
          </cell>
          <cell r="E926" t="str">
            <v>CP1487</v>
          </cell>
          <cell r="F926" t="str">
            <v>8.1.</v>
          </cell>
          <cell r="G926" t="str">
            <v xml:space="preserve">Bomba centrífuga em PVC, vazão 6000 l/h, alt. manométrica 5 m, modelo BC-30 GF SCHENEIDER ou similar para recalque de sulfato de alumínio  </v>
          </cell>
          <cell r="H926" t="str">
            <v xml:space="preserve">un    </v>
          </cell>
          <cell r="I926">
            <v>1</v>
          </cell>
          <cell r="J926">
            <v>3204.61</v>
          </cell>
          <cell r="K926">
            <v>4578.0200000000004</v>
          </cell>
          <cell r="L926">
            <v>3204.61</v>
          </cell>
        </row>
        <row r="927">
          <cell r="D927" t="str">
            <v xml:space="preserve">  D.127.            </v>
          </cell>
          <cell r="E927" t="str">
            <v>CP1487</v>
          </cell>
          <cell r="F927" t="str">
            <v>8.2.</v>
          </cell>
          <cell r="G927" t="str">
            <v xml:space="preserve">Bomba centrífuga em PVC, vazão 6000 l/h, alt. manométrica 5 m, modelo BC-30 GF SCHENEIDER ou similar para recalque de ácido fluossilícico  </v>
          </cell>
          <cell r="H927" t="str">
            <v xml:space="preserve">un    </v>
          </cell>
          <cell r="I927">
            <v>1</v>
          </cell>
          <cell r="J927">
            <v>3204.61</v>
          </cell>
          <cell r="K927">
            <v>4714.87</v>
          </cell>
          <cell r="L927">
            <v>3204.61</v>
          </cell>
        </row>
        <row r="928">
          <cell r="D928" t="str">
            <v xml:space="preserve">  D.129.            </v>
          </cell>
          <cell r="E928" t="str">
            <v>CP1429</v>
          </cell>
          <cell r="F928" t="str">
            <v>8.3.</v>
          </cell>
          <cell r="G928" t="str">
            <v xml:space="preserve">Coluna de calibração mod. TT4000 da Milton Roy ou similar  </v>
          </cell>
          <cell r="H928" t="str">
            <v xml:space="preserve">un    </v>
          </cell>
          <cell r="I928">
            <v>1</v>
          </cell>
          <cell r="J928">
            <v>4252.78</v>
          </cell>
          <cell r="K928">
            <v>6075.4</v>
          </cell>
          <cell r="L928">
            <v>4252.78</v>
          </cell>
        </row>
        <row r="929">
          <cell r="D929" t="str">
            <v xml:space="preserve">  D.130.            </v>
          </cell>
          <cell r="E929" t="str">
            <v>CP1518</v>
          </cell>
          <cell r="F929" t="str">
            <v>8.4.</v>
          </cell>
          <cell r="G929" t="str">
            <v xml:space="preserve">Coluna de calibração mod. TT500 da Milton Roy ou similar  </v>
          </cell>
          <cell r="H929" t="str">
            <v xml:space="preserve">un    </v>
          </cell>
          <cell r="I929">
            <v>2</v>
          </cell>
          <cell r="J929">
            <v>1567.13</v>
          </cell>
          <cell r="K929">
            <v>2238.75</v>
          </cell>
          <cell r="L929">
            <v>3134.26</v>
          </cell>
        </row>
        <row r="930">
          <cell r="D930" t="str">
            <v xml:space="preserve">  D.131.            </v>
          </cell>
          <cell r="E930" t="str">
            <v xml:space="preserve">      </v>
          </cell>
          <cell r="F930" t="str">
            <v>8.5.</v>
          </cell>
          <cell r="G930" t="str">
            <v xml:space="preserve">Válvulas de esfera em polipropileno soldáveis, acionamento manual  </v>
          </cell>
          <cell r="H930" t="str">
            <v xml:space="preserve">      </v>
          </cell>
          <cell r="I930">
            <v>0</v>
          </cell>
          <cell r="J930">
            <v>0</v>
          </cell>
          <cell r="K930">
            <v>0</v>
          </cell>
          <cell r="L930">
            <v>0</v>
          </cell>
        </row>
        <row r="931">
          <cell r="D931" t="str">
            <v xml:space="preserve">  D.132.            </v>
          </cell>
          <cell r="E931" t="str">
            <v>CP1490</v>
          </cell>
          <cell r="F931" t="str">
            <v>8.5.1.</v>
          </cell>
          <cell r="G931" t="str">
            <v xml:space="preserve">Válvulas de esfera em polipropileno soldáveis, acionamento manual DN 85  </v>
          </cell>
          <cell r="H931" t="str">
            <v xml:space="preserve">un    </v>
          </cell>
          <cell r="I931">
            <v>7</v>
          </cell>
          <cell r="J931">
            <v>1060.83</v>
          </cell>
          <cell r="K931">
            <v>890.99</v>
          </cell>
          <cell r="L931">
            <v>7425.81</v>
          </cell>
        </row>
        <row r="932">
          <cell r="D932" t="str">
            <v xml:space="preserve">  D.133.            </v>
          </cell>
          <cell r="E932" t="str">
            <v>CP1515</v>
          </cell>
          <cell r="F932" t="str">
            <v>8.5.2.</v>
          </cell>
          <cell r="G932" t="str">
            <v xml:space="preserve">Válvulas de esfera em polipropileno soldáveis, acionamento manual DN 75  </v>
          </cell>
          <cell r="H932" t="str">
            <v xml:space="preserve">un    </v>
          </cell>
          <cell r="I932">
            <v>2</v>
          </cell>
          <cell r="J932">
            <v>757.89</v>
          </cell>
          <cell r="K932">
            <v>633.84</v>
          </cell>
          <cell r="L932">
            <v>1515.78</v>
          </cell>
        </row>
        <row r="933">
          <cell r="D933" t="str">
            <v xml:space="preserve">  D.134.            </v>
          </cell>
          <cell r="E933" t="str">
            <v>CP1632</v>
          </cell>
          <cell r="F933" t="str">
            <v>8.5.3.</v>
          </cell>
          <cell r="G933" t="str">
            <v xml:space="preserve">Válvulas de esfera em polipropileno soldáveis, acionamento manual DN 60  </v>
          </cell>
          <cell r="H933" t="str">
            <v xml:space="preserve">un    </v>
          </cell>
          <cell r="I933">
            <v>7</v>
          </cell>
          <cell r="J933">
            <v>604.76</v>
          </cell>
          <cell r="K933">
            <v>507.07</v>
          </cell>
          <cell r="L933">
            <v>4233.32</v>
          </cell>
        </row>
        <row r="934">
          <cell r="D934" t="str">
            <v xml:space="preserve">  D.135.            </v>
          </cell>
          <cell r="E934" t="str">
            <v>CP1663</v>
          </cell>
          <cell r="F934" t="str">
            <v>8.5.4.</v>
          </cell>
          <cell r="G934" t="str">
            <v xml:space="preserve">Válvulas de esfera em polipropileno soldáveis, acionamento manual DN 40  </v>
          </cell>
          <cell r="H934" t="str">
            <v xml:space="preserve">un    </v>
          </cell>
          <cell r="I934">
            <v>1</v>
          </cell>
          <cell r="J934">
            <v>310.2</v>
          </cell>
          <cell r="K934">
            <v>258.70999999999998</v>
          </cell>
          <cell r="L934">
            <v>310.2</v>
          </cell>
        </row>
        <row r="935">
          <cell r="D935" t="str">
            <v xml:space="preserve">  D.136.            </v>
          </cell>
          <cell r="E935" t="str">
            <v>CP1685</v>
          </cell>
          <cell r="F935" t="str">
            <v>8.5.5.</v>
          </cell>
          <cell r="G935" t="str">
            <v xml:space="preserve">Válvulas de esfera em polipropileno soldáveis, acionamento manual DN 32  </v>
          </cell>
          <cell r="H935" t="str">
            <v xml:space="preserve">un    </v>
          </cell>
          <cell r="I935">
            <v>25</v>
          </cell>
          <cell r="J935">
            <v>237.54</v>
          </cell>
          <cell r="K935">
            <v>199.01</v>
          </cell>
          <cell r="L935">
            <v>5938.5</v>
          </cell>
        </row>
        <row r="936">
          <cell r="D936" t="str">
            <v xml:space="preserve">  D.137.            </v>
          </cell>
          <cell r="E936" t="str">
            <v>CP1740</v>
          </cell>
          <cell r="F936" t="str">
            <v>8.5.6.</v>
          </cell>
          <cell r="G936" t="str">
            <v xml:space="preserve">Válvulas de esfera em polipropileno soldáveis, acionamento manual DN 20  </v>
          </cell>
          <cell r="H936" t="str">
            <v xml:space="preserve">un    </v>
          </cell>
          <cell r="I936">
            <v>27</v>
          </cell>
          <cell r="J936">
            <v>205.57</v>
          </cell>
          <cell r="K936">
            <v>180.92</v>
          </cell>
          <cell r="L936">
            <v>5550.39</v>
          </cell>
        </row>
        <row r="937">
          <cell r="D937" t="str">
            <v xml:space="preserve">  D.138.            </v>
          </cell>
          <cell r="E937" t="str">
            <v xml:space="preserve">      </v>
          </cell>
          <cell r="F937" t="str">
            <v>8.6.</v>
          </cell>
          <cell r="G937" t="str">
            <v xml:space="preserve">Válvula de esfera em prolipropileno, soldáveis, com acionamento pneumático, dotada de solenoide 220 VCA, normalmente fechada  </v>
          </cell>
          <cell r="H937" t="str">
            <v xml:space="preserve">      </v>
          </cell>
          <cell r="I937">
            <v>0</v>
          </cell>
          <cell r="J937">
            <v>0</v>
          </cell>
          <cell r="K937">
            <v>0</v>
          </cell>
          <cell r="L937">
            <v>0</v>
          </cell>
        </row>
        <row r="938">
          <cell r="D938" t="str">
            <v xml:space="preserve">  D.139.            </v>
          </cell>
          <cell r="E938" t="str">
            <v>CP1593</v>
          </cell>
          <cell r="F938" t="str">
            <v>8.6.1.</v>
          </cell>
          <cell r="G938" t="str">
            <v xml:space="preserve">Válvula de esfera em prolipropileno, soldáveis, com acionamento pneumático, dotada de solenoide 220 VCA, normalmente fechada DN 32  </v>
          </cell>
          <cell r="H938" t="str">
            <v xml:space="preserve">un    </v>
          </cell>
          <cell r="I938">
            <v>7</v>
          </cell>
          <cell r="J938">
            <v>2475.3000000000002</v>
          </cell>
          <cell r="K938">
            <v>3365.07</v>
          </cell>
          <cell r="L938">
            <v>17327.099999999999</v>
          </cell>
        </row>
        <row r="939">
          <cell r="D939" t="str">
            <v xml:space="preserve">  D.140.            </v>
          </cell>
          <cell r="E939" t="str">
            <v>CP1622</v>
          </cell>
          <cell r="F939" t="str">
            <v>8.6.2.</v>
          </cell>
          <cell r="G939" t="str">
            <v xml:space="preserve">Válvula de esfera em prolipropileno, soldáveis, com acionamento pneumático, dotada de solenoide 220 VCA, normalmente fechada DN 20  </v>
          </cell>
          <cell r="H939" t="str">
            <v xml:space="preserve">un    </v>
          </cell>
          <cell r="I939">
            <v>7</v>
          </cell>
          <cell r="J939">
            <v>1773.5</v>
          </cell>
          <cell r="K939">
            <v>2533.5700000000002</v>
          </cell>
          <cell r="L939">
            <v>12414.5</v>
          </cell>
        </row>
        <row r="940">
          <cell r="D940" t="str">
            <v xml:space="preserve">  D.141.            </v>
          </cell>
          <cell r="E940" t="str">
            <v xml:space="preserve">      </v>
          </cell>
          <cell r="F940" t="str">
            <v>8.7.</v>
          </cell>
          <cell r="G940" t="str">
            <v xml:space="preserve">Válvula de esfera em bronze roscável, acionamento manual  </v>
          </cell>
          <cell r="H940" t="str">
            <v xml:space="preserve">      </v>
          </cell>
          <cell r="I940">
            <v>0</v>
          </cell>
          <cell r="J940">
            <v>0</v>
          </cell>
          <cell r="K940">
            <v>0</v>
          </cell>
          <cell r="L940">
            <v>0</v>
          </cell>
        </row>
        <row r="941">
          <cell r="D941" t="str">
            <v xml:space="preserve">  D.142.            </v>
          </cell>
          <cell r="E941" t="str">
            <v>CP1750</v>
          </cell>
          <cell r="F941" t="str">
            <v>8.7.1.</v>
          </cell>
          <cell r="G941" t="str">
            <v xml:space="preserve">Válvula de esfera em bronze roscável, acionamento manual ø 3/4  </v>
          </cell>
          <cell r="H941" t="str">
            <v xml:space="preserve">un    </v>
          </cell>
          <cell r="I941">
            <v>4</v>
          </cell>
          <cell r="J941">
            <v>37.89</v>
          </cell>
          <cell r="K941">
            <v>52.06</v>
          </cell>
          <cell r="L941">
            <v>151.56</v>
          </cell>
        </row>
        <row r="942">
          <cell r="D942" t="str">
            <v xml:space="preserve">  D.143.            </v>
          </cell>
          <cell r="E942" t="str">
            <v>CP1774</v>
          </cell>
          <cell r="F942" t="str">
            <v>8.7.2.</v>
          </cell>
          <cell r="G942" t="str">
            <v xml:space="preserve">Válvula de esfera em bronze roscável, acionamento manual ø 1/2  </v>
          </cell>
          <cell r="H942" t="str">
            <v xml:space="preserve">un    </v>
          </cell>
          <cell r="I942">
            <v>19</v>
          </cell>
          <cell r="J942">
            <v>25.24</v>
          </cell>
          <cell r="K942">
            <v>21.15</v>
          </cell>
          <cell r="L942">
            <v>479.56</v>
          </cell>
        </row>
        <row r="943">
          <cell r="D943" t="str">
            <v xml:space="preserve">  D.144.            </v>
          </cell>
          <cell r="E943" t="str">
            <v>CP1650</v>
          </cell>
          <cell r="F943" t="str">
            <v>8.8.</v>
          </cell>
          <cell r="G943" t="str">
            <v xml:space="preserve">Registro de gaveta em polipropileno ø 2 1/2, roscável  </v>
          </cell>
          <cell r="H943" t="str">
            <v xml:space="preserve">un    </v>
          </cell>
          <cell r="I943">
            <v>1</v>
          </cell>
          <cell r="J943">
            <v>1929.88</v>
          </cell>
          <cell r="K943">
            <v>2756.97</v>
          </cell>
          <cell r="L943">
            <v>1929.88</v>
          </cell>
        </row>
        <row r="944">
          <cell r="D944" t="str">
            <v xml:space="preserve">  D.145.            </v>
          </cell>
          <cell r="E944" t="str">
            <v>CP1452</v>
          </cell>
          <cell r="F944" t="str">
            <v>8.9.</v>
          </cell>
          <cell r="G944" t="str">
            <v xml:space="preserve">Tanque retangular em fibra de vidro V = 3000 L, da EDRA DO BRASIL ou similar  </v>
          </cell>
          <cell r="H944" t="str">
            <v xml:space="preserve">un    </v>
          </cell>
          <cell r="I944">
            <v>1</v>
          </cell>
          <cell r="J944">
            <v>14902.25</v>
          </cell>
          <cell r="K944">
            <v>21288.93</v>
          </cell>
          <cell r="L944">
            <v>14902.25</v>
          </cell>
        </row>
        <row r="945">
          <cell r="D945" t="str">
            <v xml:space="preserve">  D.146.            </v>
          </cell>
          <cell r="E945" t="str">
            <v>CP1741</v>
          </cell>
          <cell r="F945" t="str">
            <v>8.10.</v>
          </cell>
          <cell r="G945" t="str">
            <v xml:space="preserve">Placa de orifício, DN 75  </v>
          </cell>
          <cell r="H945" t="str">
            <v xml:space="preserve">un    </v>
          </cell>
          <cell r="I945">
            <v>1</v>
          </cell>
          <cell r="J945">
            <v>126.27</v>
          </cell>
          <cell r="K945">
            <v>180.39</v>
          </cell>
          <cell r="L945">
            <v>126.27</v>
          </cell>
        </row>
        <row r="946">
          <cell r="D946" t="str">
            <v xml:space="preserve">  D.147.            </v>
          </cell>
          <cell r="E946" t="str">
            <v xml:space="preserve">      </v>
          </cell>
          <cell r="F946" t="str">
            <v>8.11.</v>
          </cell>
          <cell r="G946" t="str">
            <v xml:space="preserve">Engate rápido em aço inoxidável CHANDLER ou similar  </v>
          </cell>
          <cell r="H946" t="str">
            <v xml:space="preserve">      </v>
          </cell>
          <cell r="I946">
            <v>0</v>
          </cell>
          <cell r="J946">
            <v>0</v>
          </cell>
          <cell r="K946">
            <v>0</v>
          </cell>
          <cell r="L946">
            <v>0</v>
          </cell>
        </row>
        <row r="947">
          <cell r="D947" t="str">
            <v xml:space="preserve">  D.148.            </v>
          </cell>
          <cell r="E947" t="str">
            <v>CP1459</v>
          </cell>
          <cell r="F947" t="str">
            <v>8.11.1.</v>
          </cell>
          <cell r="G947" t="str">
            <v xml:space="preserve">Engate rápido em aço inoxidável CHANDLER ou similar ø 3  </v>
          </cell>
          <cell r="H947" t="str">
            <v xml:space="preserve">un    </v>
          </cell>
          <cell r="I947">
            <v>1</v>
          </cell>
          <cell r="J947">
            <v>2219.85</v>
          </cell>
          <cell r="K947">
            <v>3171.21</v>
          </cell>
          <cell r="L947">
            <v>2219.85</v>
          </cell>
        </row>
        <row r="948">
          <cell r="D948" t="str">
            <v xml:space="preserve">  D.149.            </v>
          </cell>
          <cell r="E948" t="str">
            <v>CP1575</v>
          </cell>
          <cell r="F948" t="str">
            <v>8.11.2.</v>
          </cell>
          <cell r="G948" t="str">
            <v xml:space="preserve">Engate rápido em aço inoxidável CHANDLER ou similar ø 2 1/2  </v>
          </cell>
          <cell r="H948" t="str">
            <v xml:space="preserve">un    </v>
          </cell>
          <cell r="I948">
            <v>1</v>
          </cell>
          <cell r="J948">
            <v>1643.25</v>
          </cell>
          <cell r="K948">
            <v>2043.66</v>
          </cell>
          <cell r="L948">
            <v>1643.25</v>
          </cell>
        </row>
        <row r="949">
          <cell r="D949" t="str">
            <v xml:space="preserve">  D.150.            </v>
          </cell>
          <cell r="E949" t="str">
            <v>CP1624</v>
          </cell>
          <cell r="F949" t="str">
            <v>8.11.3.</v>
          </cell>
          <cell r="G949" t="str">
            <v xml:space="preserve">Engate rápido em aço inoxidável CHANDLER ou similar ø 2  </v>
          </cell>
          <cell r="H949" t="str">
            <v xml:space="preserve">un    </v>
          </cell>
          <cell r="I949">
            <v>1</v>
          </cell>
          <cell r="J949">
            <v>1205.06</v>
          </cell>
          <cell r="K949">
            <v>1515.13</v>
          </cell>
          <cell r="L949">
            <v>1205.06</v>
          </cell>
        </row>
        <row r="950">
          <cell r="D950" t="str">
            <v xml:space="preserve">  D.151.            </v>
          </cell>
          <cell r="E950" t="str">
            <v>CP1673</v>
          </cell>
          <cell r="F950" t="str">
            <v>8.11.4.</v>
          </cell>
          <cell r="G950" t="str">
            <v xml:space="preserve">Engate rápido em aço inoxidável CHANDLER ou similar ø 1  </v>
          </cell>
          <cell r="H950" t="str">
            <v xml:space="preserve">un    </v>
          </cell>
          <cell r="I950">
            <v>2</v>
          </cell>
          <cell r="J950">
            <v>454.58</v>
          </cell>
          <cell r="K950">
            <v>649.4</v>
          </cell>
          <cell r="L950">
            <v>909.16</v>
          </cell>
        </row>
        <row r="951">
          <cell r="D951" t="str">
            <v xml:space="preserve">  D.152.            </v>
          </cell>
          <cell r="E951" t="str">
            <v>CP1688</v>
          </cell>
          <cell r="F951" t="str">
            <v>8.11.5.</v>
          </cell>
          <cell r="G951" t="str">
            <v xml:space="preserve">Engate rápido em aço inoxidável CHANDLER ou similar ø 3/4  </v>
          </cell>
          <cell r="H951" t="str">
            <v xml:space="preserve">un    </v>
          </cell>
          <cell r="I951">
            <v>3</v>
          </cell>
          <cell r="J951">
            <v>378.82</v>
          </cell>
          <cell r="K951">
            <v>541.16999999999996</v>
          </cell>
          <cell r="L951">
            <v>1136.46</v>
          </cell>
        </row>
        <row r="952">
          <cell r="D952" t="str">
            <v xml:space="preserve">  D.153.            </v>
          </cell>
          <cell r="E952" t="str">
            <v>CP1998</v>
          </cell>
          <cell r="F952" t="str">
            <v>8.12.</v>
          </cell>
          <cell r="G952" t="str">
            <v xml:space="preserve">Bico spray cone cheio DN 20, c/ rosca em pvc ou outro material resistente ao vapor de ácido fluossilícico  </v>
          </cell>
          <cell r="H952" t="str">
            <v xml:space="preserve">un    </v>
          </cell>
          <cell r="I952">
            <v>3</v>
          </cell>
          <cell r="J952">
            <v>143.52000000000001</v>
          </cell>
          <cell r="K952">
            <v>205.03</v>
          </cell>
          <cell r="L952">
            <v>430.56</v>
          </cell>
        </row>
        <row r="953">
          <cell r="D953" t="str">
            <v xml:space="preserve">  D.154.            </v>
          </cell>
          <cell r="E953" t="str">
            <v>CP1841</v>
          </cell>
          <cell r="F953" t="str">
            <v>8.13.</v>
          </cell>
          <cell r="G953" t="str">
            <v xml:space="preserve">Torneira de bóia, ø 2 1/2  </v>
          </cell>
          <cell r="H953" t="str">
            <v xml:space="preserve">un    </v>
          </cell>
          <cell r="I953">
            <v>1</v>
          </cell>
          <cell r="J953">
            <v>189.82</v>
          </cell>
          <cell r="K953">
            <v>271.17</v>
          </cell>
          <cell r="L953">
            <v>189.82</v>
          </cell>
        </row>
        <row r="954">
          <cell r="D954" t="str">
            <v xml:space="preserve">  D.155.            </v>
          </cell>
          <cell r="E954" t="str">
            <v xml:space="preserve">      </v>
          </cell>
          <cell r="F954" t="str">
            <v>8.14.</v>
          </cell>
          <cell r="G954" t="str">
            <v xml:space="preserve">Torneira em bronze c/ adaptador para mangueira:  </v>
          </cell>
          <cell r="H954" t="str">
            <v xml:space="preserve">      </v>
          </cell>
          <cell r="I954">
            <v>0</v>
          </cell>
          <cell r="J954">
            <v>0</v>
          </cell>
          <cell r="K954">
            <v>0</v>
          </cell>
          <cell r="L954">
            <v>0</v>
          </cell>
        </row>
        <row r="955">
          <cell r="D955" t="str">
            <v xml:space="preserve">  D.156.            </v>
          </cell>
          <cell r="E955" t="str">
            <v>CP1966</v>
          </cell>
          <cell r="F955" t="str">
            <v>8.14.1.</v>
          </cell>
          <cell r="G955" t="str">
            <v xml:space="preserve">Torneira em bronze c/ adaptador para mangueira: 1/2  </v>
          </cell>
          <cell r="H955" t="str">
            <v xml:space="preserve">un    </v>
          </cell>
          <cell r="I955">
            <v>3</v>
          </cell>
          <cell r="J955">
            <v>16.43</v>
          </cell>
          <cell r="K955">
            <v>20.440000000000001</v>
          </cell>
          <cell r="L955">
            <v>49.29</v>
          </cell>
        </row>
        <row r="956">
          <cell r="D956" t="str">
            <v xml:space="preserve">  D.157.            </v>
          </cell>
          <cell r="E956" t="str">
            <v>CP1967</v>
          </cell>
          <cell r="F956" t="str">
            <v>8.14.2.</v>
          </cell>
          <cell r="G956" t="str">
            <v xml:space="preserve">Torneira em bronze c/ adaptador para mangueira: 3/4  </v>
          </cell>
          <cell r="H956" t="str">
            <v xml:space="preserve">un    </v>
          </cell>
          <cell r="I956">
            <v>4</v>
          </cell>
          <cell r="J956">
            <v>17.510000000000002</v>
          </cell>
          <cell r="K956">
            <v>25.02</v>
          </cell>
          <cell r="L956">
            <v>70.040000000000006</v>
          </cell>
        </row>
        <row r="957">
          <cell r="D957" t="str">
            <v xml:space="preserve">  D.158.            </v>
          </cell>
          <cell r="E957" t="str">
            <v>CP1680</v>
          </cell>
          <cell r="F957" t="str">
            <v>8.15.</v>
          </cell>
          <cell r="G957" t="str">
            <v xml:space="preserve">Lava-olhos com chuveiro  </v>
          </cell>
          <cell r="H957" t="str">
            <v xml:space="preserve">un    </v>
          </cell>
          <cell r="I957">
            <v>1</v>
          </cell>
          <cell r="J957">
            <v>3535.63</v>
          </cell>
          <cell r="K957">
            <v>5050.8999999999996</v>
          </cell>
          <cell r="L957">
            <v>3535.63</v>
          </cell>
        </row>
        <row r="958">
          <cell r="D958" t="str">
            <v xml:space="preserve">  D.159.            </v>
          </cell>
          <cell r="E958" t="str">
            <v>CP1693</v>
          </cell>
          <cell r="F958" t="str">
            <v>8.16.</v>
          </cell>
          <cell r="G958" t="str">
            <v xml:space="preserve">Válvula de pé com crivo DN 32  </v>
          </cell>
          <cell r="H958" t="str">
            <v xml:space="preserve">un    </v>
          </cell>
          <cell r="I958">
            <v>2</v>
          </cell>
          <cell r="J958">
            <v>164.15</v>
          </cell>
          <cell r="K958">
            <v>234.5</v>
          </cell>
          <cell r="L958">
            <v>328.3</v>
          </cell>
        </row>
        <row r="959">
          <cell r="D959" t="str">
            <v xml:space="preserve">  D.160.            </v>
          </cell>
          <cell r="E959" t="str">
            <v>CP1722</v>
          </cell>
          <cell r="F959" t="str">
            <v>8.17.</v>
          </cell>
          <cell r="G959" t="str">
            <v xml:space="preserve">Válvula de pé c/ crivo DN 20  </v>
          </cell>
          <cell r="H959" t="str">
            <v xml:space="preserve">un    </v>
          </cell>
          <cell r="I959">
            <v>1</v>
          </cell>
          <cell r="J959">
            <v>147.74</v>
          </cell>
          <cell r="K959">
            <v>211.06</v>
          </cell>
          <cell r="L959">
            <v>147.74</v>
          </cell>
        </row>
        <row r="960">
          <cell r="D960" t="str">
            <v xml:space="preserve">  D.161.            </v>
          </cell>
          <cell r="E960" t="str">
            <v>CP2021</v>
          </cell>
          <cell r="F960" t="str">
            <v>8.18.</v>
          </cell>
          <cell r="G960" t="str">
            <v xml:space="preserve">Adaptador macho/fêmea em latão ø 1/2 x 1/4  </v>
          </cell>
          <cell r="H960" t="str">
            <v xml:space="preserve">un    </v>
          </cell>
          <cell r="I960">
            <v>14</v>
          </cell>
          <cell r="J960">
            <v>13.69</v>
          </cell>
          <cell r="K960">
            <v>11.48</v>
          </cell>
          <cell r="L960">
            <v>191.66</v>
          </cell>
        </row>
        <row r="961">
          <cell r="D961" t="str">
            <v xml:space="preserve">  D.162.            </v>
          </cell>
          <cell r="E961" t="str">
            <v>CP0628</v>
          </cell>
          <cell r="F961" t="str">
            <v>8.19.</v>
          </cell>
          <cell r="G961" t="str">
            <v xml:space="preserve">Conector macho em latão ø 3/8 x 1/4  </v>
          </cell>
          <cell r="H961" t="str">
            <v xml:space="preserve">un    </v>
          </cell>
          <cell r="I961">
            <v>14</v>
          </cell>
          <cell r="J961">
            <v>24.92</v>
          </cell>
          <cell r="K961">
            <v>20.92</v>
          </cell>
          <cell r="L961">
            <v>348.88</v>
          </cell>
        </row>
        <row r="962">
          <cell r="D962" t="str">
            <v xml:space="preserve">  D.163.            </v>
          </cell>
          <cell r="E962" t="str">
            <v>CP2005</v>
          </cell>
          <cell r="F962" t="str">
            <v>8.20.</v>
          </cell>
          <cell r="G962" t="str">
            <v xml:space="preserve">Tubo de nylon preto ø 3/8  </v>
          </cell>
          <cell r="H962" t="str">
            <v xml:space="preserve">m     </v>
          </cell>
          <cell r="I962">
            <v>18</v>
          </cell>
          <cell r="J962">
            <v>13.55</v>
          </cell>
          <cell r="K962">
            <v>17.350000000000001</v>
          </cell>
          <cell r="L962">
            <v>243.9</v>
          </cell>
        </row>
        <row r="963">
          <cell r="D963" t="str">
            <v xml:space="preserve">  D.164.            </v>
          </cell>
          <cell r="E963" t="str">
            <v xml:space="preserve">      </v>
          </cell>
          <cell r="F963" t="str">
            <v>8.21.</v>
          </cell>
          <cell r="G963" t="str">
            <v xml:space="preserve">Válvula de retenção, tipo esfera soldável  </v>
          </cell>
          <cell r="H963" t="str">
            <v xml:space="preserve">      </v>
          </cell>
          <cell r="I963">
            <v>0</v>
          </cell>
          <cell r="J963">
            <v>0</v>
          </cell>
          <cell r="K963">
            <v>0</v>
          </cell>
          <cell r="L963">
            <v>0</v>
          </cell>
        </row>
        <row r="964">
          <cell r="D964" t="str">
            <v xml:space="preserve">  D.165.            </v>
          </cell>
          <cell r="E964" t="str">
            <v>CP1684</v>
          </cell>
          <cell r="F964" t="str">
            <v>8.21.1.</v>
          </cell>
          <cell r="G964" t="str">
            <v xml:space="preserve">Válvula de retenção, tipo esfera soldável DN 20  </v>
          </cell>
          <cell r="H964" t="str">
            <v xml:space="preserve">un    </v>
          </cell>
          <cell r="I964">
            <v>2</v>
          </cell>
          <cell r="J964">
            <v>15.36</v>
          </cell>
          <cell r="K964">
            <v>12.84</v>
          </cell>
          <cell r="L964">
            <v>30.72</v>
          </cell>
        </row>
        <row r="965">
          <cell r="D965" t="str">
            <v xml:space="preserve">  D.166.            </v>
          </cell>
          <cell r="E965" t="str">
            <v>CP1550</v>
          </cell>
          <cell r="F965" t="str">
            <v>8.21.2.</v>
          </cell>
          <cell r="G965" t="str">
            <v xml:space="preserve">Válvula de retenção, tipo esfera soldável DN 75  </v>
          </cell>
          <cell r="H965" t="str">
            <v xml:space="preserve">un    </v>
          </cell>
          <cell r="I965">
            <v>2</v>
          </cell>
          <cell r="J965">
            <v>187.95</v>
          </cell>
          <cell r="K965">
            <v>157.19999999999999</v>
          </cell>
          <cell r="L965">
            <v>375.9</v>
          </cell>
        </row>
        <row r="966">
          <cell r="D966" t="str">
            <v xml:space="preserve">  D.167.            </v>
          </cell>
          <cell r="E966" t="str">
            <v>CP1605</v>
          </cell>
          <cell r="F966" t="str">
            <v>8.22.</v>
          </cell>
          <cell r="G966" t="str">
            <v xml:space="preserve">Registro de esfera em polipropileno ø 1, c/ rosca macho  </v>
          </cell>
          <cell r="H966" t="str">
            <v xml:space="preserve">un    </v>
          </cell>
          <cell r="I966">
            <v>1</v>
          </cell>
          <cell r="J966">
            <v>207.82</v>
          </cell>
          <cell r="K966">
            <v>266.08999999999997</v>
          </cell>
          <cell r="L966">
            <v>207.82</v>
          </cell>
        </row>
        <row r="967">
          <cell r="D967" t="str">
            <v xml:space="preserve">  D.168.            </v>
          </cell>
          <cell r="E967" t="str">
            <v>CP1382</v>
          </cell>
          <cell r="F967" t="str">
            <v>8.23.</v>
          </cell>
          <cell r="G967" t="str">
            <v xml:space="preserve">Comporta tipo Stop-log em fibra de vidro 60 x 100  </v>
          </cell>
          <cell r="H967" t="str">
            <v xml:space="preserve">un    </v>
          </cell>
          <cell r="I967">
            <v>2</v>
          </cell>
          <cell r="J967">
            <v>11628.63</v>
          </cell>
          <cell r="K967">
            <v>16612.330000000002</v>
          </cell>
          <cell r="L967">
            <v>23257.26</v>
          </cell>
        </row>
        <row r="968">
          <cell r="D968" t="str">
            <v xml:space="preserve">  D.169.            </v>
          </cell>
          <cell r="E968" t="str">
            <v>CP1577</v>
          </cell>
          <cell r="F968" t="str">
            <v>8.24.</v>
          </cell>
          <cell r="G968" t="str">
            <v xml:space="preserve">Conjunto filtro regulador e lubrificador com manômetro Ø 1/2 e suporte  </v>
          </cell>
          <cell r="H968" t="str">
            <v xml:space="preserve">un    </v>
          </cell>
          <cell r="I968">
            <v>2</v>
          </cell>
          <cell r="J968">
            <v>906.83</v>
          </cell>
          <cell r="K968">
            <v>1360.23</v>
          </cell>
          <cell r="L968">
            <v>1813.66</v>
          </cell>
        </row>
        <row r="969">
          <cell r="D969" t="str">
            <v xml:space="preserve">  D.170.            </v>
          </cell>
          <cell r="E969" t="str">
            <v xml:space="preserve">      </v>
          </cell>
          <cell r="F969" t="str">
            <v>9.</v>
          </cell>
          <cell r="G969" t="str">
            <v xml:space="preserve">Montagem de Equipamentos, Válvulas e Miscelâneas Diversas para Instalações de Processo  </v>
          </cell>
          <cell r="H969" t="str">
            <v xml:space="preserve">      </v>
          </cell>
          <cell r="I969">
            <v>0</v>
          </cell>
          <cell r="J969">
            <v>0</v>
          </cell>
          <cell r="K969">
            <v>0</v>
          </cell>
          <cell r="L969">
            <v>0</v>
          </cell>
        </row>
        <row r="970">
          <cell r="D970" t="str">
            <v xml:space="preserve">  D.171.            </v>
          </cell>
          <cell r="E970" t="str">
            <v>CP0152</v>
          </cell>
          <cell r="F970" t="str">
            <v>9.1.</v>
          </cell>
          <cell r="G970" t="str">
            <v xml:space="preserve">Bomba centrífuga em PVC, vazão 6000 l/h, alt. manométrica 5 m, modelo BC-30 GF SCHENEIDER ou similar para recalque de sulfato de alumínio  </v>
          </cell>
          <cell r="H970" t="str">
            <v xml:space="preserve">un    </v>
          </cell>
          <cell r="I970">
            <v>1</v>
          </cell>
          <cell r="J970">
            <v>214.94</v>
          </cell>
          <cell r="K970">
            <v>180.5</v>
          </cell>
          <cell r="L970">
            <v>214.94</v>
          </cell>
        </row>
        <row r="971">
          <cell r="D971" t="str">
            <v xml:space="preserve">  D.172.            </v>
          </cell>
          <cell r="E971" t="str">
            <v>CP0152</v>
          </cell>
          <cell r="F971" t="str">
            <v>9.2.</v>
          </cell>
          <cell r="G971" t="str">
            <v xml:space="preserve">Bomba centrífuga em PVC, vazão 6000 l/h, alt. manométrica  5 m, modelo BC-30 GF SCHENEIDER ou similar para recalque de ácido fluossilícico  </v>
          </cell>
          <cell r="H971" t="str">
            <v xml:space="preserve">un    </v>
          </cell>
          <cell r="I971">
            <v>1</v>
          </cell>
          <cell r="J971">
            <v>214.94</v>
          </cell>
          <cell r="K971">
            <v>180.5</v>
          </cell>
          <cell r="L971">
            <v>214.94</v>
          </cell>
        </row>
        <row r="972">
          <cell r="D972" t="str">
            <v xml:space="preserve">  D.174.            </v>
          </cell>
          <cell r="E972" t="str">
            <v>CP0151</v>
          </cell>
          <cell r="F972" t="str">
            <v>9.3.</v>
          </cell>
          <cell r="G972" t="str">
            <v xml:space="preserve">Coluna de calibração mod. TT4000 da Milton Roy ou similar  </v>
          </cell>
          <cell r="H972" t="str">
            <v xml:space="preserve">un    </v>
          </cell>
          <cell r="I972">
            <v>1</v>
          </cell>
          <cell r="J972">
            <v>390.14</v>
          </cell>
          <cell r="K972">
            <v>327.04000000000002</v>
          </cell>
          <cell r="L972">
            <v>390.14</v>
          </cell>
        </row>
        <row r="973">
          <cell r="D973" t="str">
            <v xml:space="preserve">  D.175.            </v>
          </cell>
          <cell r="E973" t="str">
            <v>CP0472</v>
          </cell>
          <cell r="F973" t="str">
            <v>9.4.</v>
          </cell>
          <cell r="G973" t="str">
            <v xml:space="preserve">Coluna de calibração mod. TT500 da Milton Roy ou similar  </v>
          </cell>
          <cell r="H973" t="str">
            <v xml:space="preserve">un    </v>
          </cell>
          <cell r="I973">
            <v>2</v>
          </cell>
          <cell r="J973">
            <v>176.3</v>
          </cell>
          <cell r="K973">
            <v>147.78</v>
          </cell>
          <cell r="L973">
            <v>352.6</v>
          </cell>
        </row>
        <row r="974">
          <cell r="D974" t="str">
            <v xml:space="preserve">  D.176.            </v>
          </cell>
          <cell r="E974" t="str">
            <v xml:space="preserve">      </v>
          </cell>
          <cell r="F974" t="str">
            <v>9.5.</v>
          </cell>
          <cell r="G974" t="str">
            <v xml:space="preserve">Válvulas de esfera em polipropileno soldáveis, acionamento manual  </v>
          </cell>
          <cell r="H974" t="str">
            <v xml:space="preserve">      </v>
          </cell>
          <cell r="I974">
            <v>0</v>
          </cell>
          <cell r="J974">
            <v>0</v>
          </cell>
          <cell r="K974">
            <v>0</v>
          </cell>
          <cell r="L974">
            <v>0</v>
          </cell>
        </row>
        <row r="975">
          <cell r="D975" t="str">
            <v xml:space="preserve">  D.177.            </v>
          </cell>
          <cell r="E975" t="str">
            <v>CP0467</v>
          </cell>
          <cell r="F975" t="str">
            <v>9.5.1.</v>
          </cell>
          <cell r="G975" t="str">
            <v xml:space="preserve">Válvulas de esfera em polipropileno soldáveis, acionamento manual DN 85  </v>
          </cell>
          <cell r="H975" t="str">
            <v xml:space="preserve">un    </v>
          </cell>
          <cell r="I975">
            <v>7</v>
          </cell>
          <cell r="J975">
            <v>63.16</v>
          </cell>
          <cell r="K975">
            <v>52.77</v>
          </cell>
          <cell r="L975">
            <v>442.12</v>
          </cell>
        </row>
        <row r="976">
          <cell r="D976" t="str">
            <v xml:space="preserve">  D.178.            </v>
          </cell>
          <cell r="E976" t="str">
            <v>CP0467</v>
          </cell>
          <cell r="F976" t="str">
            <v>9.5.2.</v>
          </cell>
          <cell r="G976" t="str">
            <v xml:space="preserve">Válvulas de esfera em polipropileno soldáveis, acionamento manual DN 75  </v>
          </cell>
          <cell r="H976" t="str">
            <v xml:space="preserve">un    </v>
          </cell>
          <cell r="I976">
            <v>2</v>
          </cell>
          <cell r="J976">
            <v>63.16</v>
          </cell>
          <cell r="K976">
            <v>52.77</v>
          </cell>
          <cell r="L976">
            <v>126.32</v>
          </cell>
        </row>
        <row r="977">
          <cell r="D977" t="str">
            <v xml:space="preserve">  D.179.            </v>
          </cell>
          <cell r="E977" t="str">
            <v>CP0453</v>
          </cell>
          <cell r="F977" t="str">
            <v>9.5.3.</v>
          </cell>
          <cell r="G977" t="str">
            <v xml:space="preserve">Válvulas de esfera em polipropileno soldáveis, acionamento manual DN 60  </v>
          </cell>
          <cell r="H977" t="str">
            <v xml:space="preserve">un    </v>
          </cell>
          <cell r="I977">
            <v>7</v>
          </cell>
          <cell r="J977">
            <v>20.079999999999998</v>
          </cell>
          <cell r="K977">
            <v>52.77</v>
          </cell>
          <cell r="L977">
            <v>140.56</v>
          </cell>
        </row>
        <row r="978">
          <cell r="D978" t="str">
            <v xml:space="preserve">  D.180.            </v>
          </cell>
          <cell r="E978" t="str">
            <v>CP0435</v>
          </cell>
          <cell r="F978" t="str">
            <v>9.5.4.</v>
          </cell>
          <cell r="G978" t="str">
            <v xml:space="preserve">Válvulas de esfera em polipropileno soldáveis, acionamento manual DN 40  </v>
          </cell>
          <cell r="H978" t="str">
            <v xml:space="preserve">un    </v>
          </cell>
          <cell r="I978">
            <v>1</v>
          </cell>
          <cell r="J978">
            <v>9.81</v>
          </cell>
          <cell r="K978">
            <v>44.83</v>
          </cell>
          <cell r="L978">
            <v>9.81</v>
          </cell>
        </row>
        <row r="979">
          <cell r="D979" t="str">
            <v xml:space="preserve">  D.181.            </v>
          </cell>
          <cell r="E979" t="str">
            <v>CP0458</v>
          </cell>
          <cell r="F979" t="str">
            <v>9.5.5.</v>
          </cell>
          <cell r="G979" t="str">
            <v xml:space="preserve">Válvulas de esfera em polipropileno soldáveis, acionamento manual DN 32  </v>
          </cell>
          <cell r="H979" t="str">
            <v xml:space="preserve">un    </v>
          </cell>
          <cell r="I979">
            <v>25</v>
          </cell>
          <cell r="J979">
            <v>19.32</v>
          </cell>
          <cell r="K979">
            <v>44.83</v>
          </cell>
          <cell r="L979">
            <v>483</v>
          </cell>
        </row>
        <row r="980">
          <cell r="D980" t="str">
            <v xml:space="preserve">  D.182.            </v>
          </cell>
          <cell r="E980" t="str">
            <v>CP0457</v>
          </cell>
          <cell r="F980" t="str">
            <v>9.5.6.</v>
          </cell>
          <cell r="G980" t="str">
            <v xml:space="preserve">Válvulas de esfera em polipropileno soldáveis, acionamento manual DN 20  </v>
          </cell>
          <cell r="H980" t="str">
            <v xml:space="preserve">un    </v>
          </cell>
          <cell r="I980">
            <v>27</v>
          </cell>
          <cell r="J980">
            <v>9.33</v>
          </cell>
          <cell r="K980">
            <v>36.880000000000003</v>
          </cell>
          <cell r="L980">
            <v>251.91</v>
          </cell>
        </row>
        <row r="981">
          <cell r="D981" t="str">
            <v xml:space="preserve">  D.183.            </v>
          </cell>
          <cell r="E981" t="str">
            <v xml:space="preserve">      </v>
          </cell>
          <cell r="F981" t="str">
            <v>9.6.</v>
          </cell>
          <cell r="G981" t="str">
            <v xml:space="preserve">Válvula de esfera em prolipropileno, soldáveis, com acionamento pneumático, dotada de solenoide 220 VCA, normalmente fechada  </v>
          </cell>
          <cell r="H981" t="str">
            <v xml:space="preserve">      </v>
          </cell>
          <cell r="I981">
            <v>0</v>
          </cell>
          <cell r="J981">
            <v>0</v>
          </cell>
          <cell r="K981">
            <v>0</v>
          </cell>
          <cell r="L981">
            <v>0</v>
          </cell>
        </row>
        <row r="982">
          <cell r="D982" t="str">
            <v xml:space="preserve">  D.184.            </v>
          </cell>
          <cell r="E982" t="str">
            <v>CP0453</v>
          </cell>
          <cell r="F982" t="str">
            <v>9.6.1.</v>
          </cell>
          <cell r="G982" t="str">
            <v xml:space="preserve">Válvula de esfera em prolipropileno, soldáveis, com acionamento pneumático, dotada de solenoide 220 VCA, normalmente fechada DN 32  </v>
          </cell>
          <cell r="H982" t="str">
            <v xml:space="preserve">un    </v>
          </cell>
          <cell r="I982">
            <v>7</v>
          </cell>
          <cell r="J982">
            <v>20.079999999999998</v>
          </cell>
          <cell r="K982">
            <v>119.67</v>
          </cell>
          <cell r="L982">
            <v>140.56</v>
          </cell>
        </row>
        <row r="983">
          <cell r="D983" t="str">
            <v xml:space="preserve">  D.185.            </v>
          </cell>
          <cell r="E983" t="str">
            <v>CP0240</v>
          </cell>
          <cell r="F983" t="str">
            <v>9.6.2.</v>
          </cell>
          <cell r="G983" t="str">
            <v xml:space="preserve">Válvula de esfera em prolipropileno, soldáveis, com acionamento pneumático, dotada de solenoide 220 VCA, normalmente fechada DN 20  </v>
          </cell>
          <cell r="H983" t="str">
            <v xml:space="preserve">un    </v>
          </cell>
          <cell r="I983">
            <v>7</v>
          </cell>
          <cell r="J983">
            <v>21.2</v>
          </cell>
          <cell r="K983">
            <v>102.74</v>
          </cell>
          <cell r="L983">
            <v>148.4</v>
          </cell>
        </row>
        <row r="984">
          <cell r="D984" t="str">
            <v xml:space="preserve">  D.186.            </v>
          </cell>
          <cell r="E984" t="str">
            <v xml:space="preserve">      </v>
          </cell>
          <cell r="F984" t="str">
            <v>9.7.</v>
          </cell>
          <cell r="G984" t="str">
            <v xml:space="preserve">Válvula de esfera em bronze roscável, acionamento manual  </v>
          </cell>
          <cell r="H984" t="str">
            <v xml:space="preserve">      </v>
          </cell>
          <cell r="I984">
            <v>0</v>
          </cell>
          <cell r="J984">
            <v>0</v>
          </cell>
          <cell r="K984">
            <v>0</v>
          </cell>
          <cell r="L984">
            <v>0</v>
          </cell>
        </row>
        <row r="985">
          <cell r="D985" t="str">
            <v xml:space="preserve">  D.187.            </v>
          </cell>
          <cell r="E985" t="str">
            <v>CP0376</v>
          </cell>
          <cell r="F985" t="str">
            <v>9.7.1.</v>
          </cell>
          <cell r="G985" t="str">
            <v xml:space="preserve">Válvula de esfera em bronze roscável, acionamento manual ø 3/4  </v>
          </cell>
          <cell r="H985" t="str">
            <v xml:space="preserve">un    </v>
          </cell>
          <cell r="I985">
            <v>4</v>
          </cell>
          <cell r="J985">
            <v>18.22</v>
          </cell>
          <cell r="K985">
            <v>15.73</v>
          </cell>
          <cell r="L985">
            <v>72.88</v>
          </cell>
        </row>
        <row r="986">
          <cell r="D986" t="str">
            <v xml:space="preserve">  D.188.            </v>
          </cell>
          <cell r="E986" t="str">
            <v>CP0376</v>
          </cell>
          <cell r="F986" t="str">
            <v>9.7.2.</v>
          </cell>
          <cell r="G986" t="str">
            <v xml:space="preserve">Válvula de esfera em bronze roscável, acionamento manual ø 1/2  </v>
          </cell>
          <cell r="H986" t="str">
            <v xml:space="preserve">un    </v>
          </cell>
          <cell r="I986">
            <v>19</v>
          </cell>
          <cell r="J986">
            <v>18.22</v>
          </cell>
          <cell r="K986">
            <v>15.29</v>
          </cell>
          <cell r="L986">
            <v>346.18</v>
          </cell>
        </row>
        <row r="987">
          <cell r="D987" t="str">
            <v xml:space="preserve">  D.189.            </v>
          </cell>
          <cell r="E987" t="str">
            <v>CP0435</v>
          </cell>
          <cell r="F987" t="str">
            <v>9.8.</v>
          </cell>
          <cell r="G987" t="str">
            <v xml:space="preserve">Registro de gaveta em polipropileno ø 2 1/2, roscável  </v>
          </cell>
          <cell r="H987" t="str">
            <v xml:space="preserve">un    </v>
          </cell>
          <cell r="I987">
            <v>1</v>
          </cell>
          <cell r="J987">
            <v>9.81</v>
          </cell>
          <cell r="K987">
            <v>61.74</v>
          </cell>
          <cell r="L987">
            <v>9.81</v>
          </cell>
        </row>
        <row r="988">
          <cell r="D988" t="str">
            <v xml:space="preserve">  D.190.            </v>
          </cell>
          <cell r="E988" t="str">
            <v>CP0431</v>
          </cell>
          <cell r="F988" t="str">
            <v>9.9.</v>
          </cell>
          <cell r="G988" t="str">
            <v xml:space="preserve">Tanque retangular em fibra de vidro V = 3000 L, da EDRA DO BRASIL ou similar  </v>
          </cell>
          <cell r="H988" t="str">
            <v xml:space="preserve">un    </v>
          </cell>
          <cell r="I988">
            <v>1</v>
          </cell>
          <cell r="J988">
            <v>422.22</v>
          </cell>
          <cell r="K988">
            <v>354.32</v>
          </cell>
          <cell r="L988">
            <v>422.22</v>
          </cell>
        </row>
        <row r="989">
          <cell r="D989" t="str">
            <v xml:space="preserve">  D.191.            </v>
          </cell>
          <cell r="E989" t="str">
            <v>CP0240</v>
          </cell>
          <cell r="F989" t="str">
            <v>9.10.</v>
          </cell>
          <cell r="G989" t="str">
            <v xml:space="preserve">Placa de orifício, DN 75  </v>
          </cell>
          <cell r="H989" t="str">
            <v xml:space="preserve">un    </v>
          </cell>
          <cell r="I989">
            <v>1</v>
          </cell>
          <cell r="J989">
            <v>21.2</v>
          </cell>
          <cell r="K989">
            <v>30.05</v>
          </cell>
          <cell r="L989">
            <v>21.2</v>
          </cell>
        </row>
        <row r="990">
          <cell r="D990" t="str">
            <v xml:space="preserve">  D.192.            </v>
          </cell>
          <cell r="E990" t="str">
            <v xml:space="preserve">      </v>
          </cell>
          <cell r="F990" t="str">
            <v>9.11.</v>
          </cell>
          <cell r="G990" t="str">
            <v xml:space="preserve">Engate rápido em aço inoxidável CHANDLER ou similar  </v>
          </cell>
          <cell r="H990" t="str">
            <v xml:space="preserve">      </v>
          </cell>
          <cell r="I990">
            <v>0</v>
          </cell>
          <cell r="J990">
            <v>0</v>
          </cell>
          <cell r="K990">
            <v>0</v>
          </cell>
          <cell r="L990">
            <v>0</v>
          </cell>
        </row>
        <row r="991">
          <cell r="D991" t="str">
            <v xml:space="preserve">  D.193.            </v>
          </cell>
          <cell r="E991" t="str">
            <v>CP0383</v>
          </cell>
          <cell r="F991" t="str">
            <v>9.11.1.</v>
          </cell>
          <cell r="G991" t="str">
            <v xml:space="preserve">Engate rápido em aço inoxidável CHANDLER ou similar ø 3  </v>
          </cell>
          <cell r="H991" t="str">
            <v xml:space="preserve">un    </v>
          </cell>
          <cell r="I991">
            <v>1</v>
          </cell>
          <cell r="J991">
            <v>59.68</v>
          </cell>
          <cell r="K991">
            <v>50.09</v>
          </cell>
          <cell r="L991">
            <v>59.68</v>
          </cell>
        </row>
        <row r="992">
          <cell r="D992" t="str">
            <v xml:space="preserve">  D.194.            </v>
          </cell>
          <cell r="E992" t="str">
            <v>CP0240</v>
          </cell>
          <cell r="F992" t="str">
            <v>9.11.2.</v>
          </cell>
          <cell r="G992" t="str">
            <v xml:space="preserve">Engate rápido em aço inoxidável CHANDLER ou similar ø 2 1/2  </v>
          </cell>
          <cell r="H992" t="str">
            <v xml:space="preserve">un    </v>
          </cell>
          <cell r="I992">
            <v>1</v>
          </cell>
          <cell r="J992">
            <v>21.2</v>
          </cell>
          <cell r="K992">
            <v>50.09</v>
          </cell>
          <cell r="L992">
            <v>21.2</v>
          </cell>
        </row>
        <row r="993">
          <cell r="D993" t="str">
            <v xml:space="preserve">  D.195.            </v>
          </cell>
          <cell r="E993" t="str">
            <v>CP0422</v>
          </cell>
          <cell r="F993" t="str">
            <v>9.11.3.</v>
          </cell>
          <cell r="G993" t="str">
            <v xml:space="preserve">Engate rápido em aço inoxidável CHANDLER ou similar ø 2  </v>
          </cell>
          <cell r="H993" t="str">
            <v xml:space="preserve">un    </v>
          </cell>
          <cell r="I993">
            <v>1</v>
          </cell>
          <cell r="J993">
            <v>42.29</v>
          </cell>
          <cell r="K993">
            <v>50.09</v>
          </cell>
          <cell r="L993">
            <v>42.29</v>
          </cell>
        </row>
        <row r="994">
          <cell r="D994" t="str">
            <v xml:space="preserve">  D.196.            </v>
          </cell>
          <cell r="E994" t="str">
            <v>CP0412</v>
          </cell>
          <cell r="F994" t="str">
            <v>9.11.4.</v>
          </cell>
          <cell r="G994" t="str">
            <v xml:space="preserve">Engate rápido em aço inoxidável CHANDLER ou similar ø 1  </v>
          </cell>
          <cell r="H994" t="str">
            <v xml:space="preserve">un    </v>
          </cell>
          <cell r="I994">
            <v>2</v>
          </cell>
          <cell r="J994">
            <v>20.97</v>
          </cell>
          <cell r="K994">
            <v>37.659999999999997</v>
          </cell>
          <cell r="L994">
            <v>41.94</v>
          </cell>
        </row>
        <row r="995">
          <cell r="D995" t="str">
            <v xml:space="preserve">  D.197.            </v>
          </cell>
          <cell r="E995" t="str">
            <v>CP0376</v>
          </cell>
          <cell r="F995" t="str">
            <v>9.11.5.</v>
          </cell>
          <cell r="G995" t="str">
            <v xml:space="preserve">Engate rápido em aço inoxidável CHANDLER ou similar ø 3/4  </v>
          </cell>
          <cell r="H995" t="str">
            <v xml:space="preserve">un    </v>
          </cell>
          <cell r="I995">
            <v>3</v>
          </cell>
          <cell r="J995">
            <v>18.22</v>
          </cell>
          <cell r="K995">
            <v>27.67</v>
          </cell>
          <cell r="L995">
            <v>54.66</v>
          </cell>
        </row>
        <row r="996">
          <cell r="D996" t="str">
            <v xml:space="preserve">  D.198.            </v>
          </cell>
          <cell r="E996" t="str">
            <v>CP0400</v>
          </cell>
          <cell r="F996" t="str">
            <v>9.12.</v>
          </cell>
          <cell r="G996" t="str">
            <v xml:space="preserve">Bico spray cone cheio DN 20, c/ rosca  </v>
          </cell>
          <cell r="H996" t="str">
            <v xml:space="preserve">un    </v>
          </cell>
          <cell r="I996">
            <v>3</v>
          </cell>
          <cell r="J996">
            <v>5.51</v>
          </cell>
          <cell r="K996">
            <v>4.91</v>
          </cell>
          <cell r="L996">
            <v>16.53</v>
          </cell>
        </row>
        <row r="997">
          <cell r="D997" t="str">
            <v xml:space="preserve">  D.199.            </v>
          </cell>
          <cell r="E997" t="str">
            <v>CP0414</v>
          </cell>
          <cell r="F997" t="str">
            <v>9.13.</v>
          </cell>
          <cell r="G997" t="str">
            <v xml:space="preserve">Torneira de bóia roscável ø 1  </v>
          </cell>
          <cell r="H997" t="str">
            <v xml:space="preserve">un    </v>
          </cell>
          <cell r="I997">
            <v>1</v>
          </cell>
          <cell r="J997">
            <v>14.13</v>
          </cell>
          <cell r="K997">
            <v>19.739999999999998</v>
          </cell>
          <cell r="L997">
            <v>14.13</v>
          </cell>
        </row>
        <row r="998">
          <cell r="D998" t="str">
            <v xml:space="preserve">  D.200.            </v>
          </cell>
          <cell r="E998" t="str">
            <v xml:space="preserve">      </v>
          </cell>
          <cell r="F998" t="str">
            <v>9.14.</v>
          </cell>
          <cell r="G998" t="str">
            <v xml:space="preserve">Torneira em bronze c/ adaptador para mangueira:  </v>
          </cell>
          <cell r="H998" t="str">
            <v xml:space="preserve">      </v>
          </cell>
          <cell r="I998">
            <v>0</v>
          </cell>
          <cell r="J998">
            <v>0</v>
          </cell>
          <cell r="K998">
            <v>0</v>
          </cell>
          <cell r="L998">
            <v>0</v>
          </cell>
        </row>
        <row r="999">
          <cell r="D999" t="str">
            <v xml:space="preserve">  D.201.            </v>
          </cell>
          <cell r="E999" t="str">
            <v>CP0414</v>
          </cell>
          <cell r="F999" t="str">
            <v>9.14.1.</v>
          </cell>
          <cell r="G999" t="str">
            <v xml:space="preserve">Torneira em bronze c/ adaptador para mangueira: 1/2  </v>
          </cell>
          <cell r="H999" t="str">
            <v xml:space="preserve">un    </v>
          </cell>
          <cell r="I999">
            <v>3</v>
          </cell>
          <cell r="J999">
            <v>14.13</v>
          </cell>
          <cell r="K999">
            <v>11.79</v>
          </cell>
          <cell r="L999">
            <v>42.39</v>
          </cell>
        </row>
        <row r="1000">
          <cell r="D1000" t="str">
            <v xml:space="preserve">  D.202.            </v>
          </cell>
          <cell r="E1000" t="str">
            <v>CP0414</v>
          </cell>
          <cell r="F1000" t="str">
            <v>9.14.2.</v>
          </cell>
          <cell r="G1000" t="str">
            <v xml:space="preserve">Torneira em bronze c/ adaptador para mangueira: 3/4  </v>
          </cell>
          <cell r="H1000" t="str">
            <v xml:space="preserve">un    </v>
          </cell>
          <cell r="I1000">
            <v>4</v>
          </cell>
          <cell r="J1000">
            <v>14.13</v>
          </cell>
          <cell r="K1000">
            <v>11.79</v>
          </cell>
          <cell r="L1000">
            <v>56.52</v>
          </cell>
        </row>
        <row r="1001">
          <cell r="D1001" t="str">
            <v xml:space="preserve">  D.203.            </v>
          </cell>
          <cell r="E1001" t="str">
            <v>CP0240</v>
          </cell>
          <cell r="F1001" t="str">
            <v>9.15.</v>
          </cell>
          <cell r="G1001" t="str">
            <v xml:space="preserve">Válvula de pé com crivo DN 32  </v>
          </cell>
          <cell r="H1001" t="str">
            <v xml:space="preserve">un    </v>
          </cell>
          <cell r="I1001">
            <v>2</v>
          </cell>
          <cell r="J1001">
            <v>21.2</v>
          </cell>
          <cell r="K1001">
            <v>32.07</v>
          </cell>
          <cell r="L1001">
            <v>42.4</v>
          </cell>
        </row>
        <row r="1002">
          <cell r="D1002" t="str">
            <v xml:space="preserve">  D.204.            </v>
          </cell>
          <cell r="E1002" t="str">
            <v>CP0412</v>
          </cell>
          <cell r="F1002" t="str">
            <v>9.16.</v>
          </cell>
          <cell r="G1002" t="str">
            <v xml:space="preserve">Válvula de pé c/ crivo DN 20  </v>
          </cell>
          <cell r="H1002" t="str">
            <v xml:space="preserve">un    </v>
          </cell>
          <cell r="I1002">
            <v>1</v>
          </cell>
          <cell r="J1002">
            <v>20.97</v>
          </cell>
          <cell r="K1002">
            <v>29.59</v>
          </cell>
          <cell r="L1002">
            <v>20.97</v>
          </cell>
        </row>
        <row r="1003">
          <cell r="D1003" t="str">
            <v xml:space="preserve">  D.205.            </v>
          </cell>
          <cell r="E1003" t="str">
            <v>CP0453</v>
          </cell>
          <cell r="F1003" t="str">
            <v>9.17.</v>
          </cell>
          <cell r="G1003" t="str">
            <v xml:space="preserve">Lava-olhos com chuveiro  </v>
          </cell>
          <cell r="H1003" t="str">
            <v xml:space="preserve">un    </v>
          </cell>
          <cell r="I1003">
            <v>1</v>
          </cell>
          <cell r="J1003">
            <v>20.079999999999998</v>
          </cell>
          <cell r="K1003">
            <v>65.61</v>
          </cell>
          <cell r="L1003">
            <v>20.079999999999998</v>
          </cell>
        </row>
        <row r="1004">
          <cell r="D1004" t="str">
            <v xml:space="preserve">  D.206.            </v>
          </cell>
          <cell r="E1004" t="str">
            <v>CP0400</v>
          </cell>
          <cell r="F1004" t="str">
            <v>9.18.</v>
          </cell>
          <cell r="G1004" t="str">
            <v xml:space="preserve">Adaptador macho/fêmea em latão ø 1/2 x 1/4  </v>
          </cell>
          <cell r="H1004" t="str">
            <v xml:space="preserve">un    </v>
          </cell>
          <cell r="I1004">
            <v>14</v>
          </cell>
          <cell r="J1004">
            <v>5.51</v>
          </cell>
          <cell r="K1004">
            <v>4.6100000000000003</v>
          </cell>
          <cell r="L1004">
            <v>77.14</v>
          </cell>
        </row>
        <row r="1005">
          <cell r="D1005" t="str">
            <v xml:space="preserve">  D.207.            </v>
          </cell>
          <cell r="E1005" t="str">
            <v>CP0400</v>
          </cell>
          <cell r="F1005" t="str">
            <v>9.19.</v>
          </cell>
          <cell r="G1005" t="str">
            <v xml:space="preserve">Conector macho em latão ø 3/8 x 1/4  </v>
          </cell>
          <cell r="H1005" t="str">
            <v xml:space="preserve">un    </v>
          </cell>
          <cell r="I1005">
            <v>14</v>
          </cell>
          <cell r="J1005">
            <v>5.51</v>
          </cell>
          <cell r="K1005">
            <v>5.78</v>
          </cell>
          <cell r="L1005">
            <v>77.14</v>
          </cell>
        </row>
        <row r="1006">
          <cell r="D1006" t="str">
            <v xml:space="preserve">  D.208.            </v>
          </cell>
          <cell r="E1006" t="str">
            <v>CP0396</v>
          </cell>
          <cell r="F1006" t="str">
            <v>9.20.</v>
          </cell>
          <cell r="G1006" t="str">
            <v xml:space="preserve">Tubo de nylon preto ø 3/8  </v>
          </cell>
          <cell r="H1006" t="str">
            <v xml:space="preserve">m     </v>
          </cell>
          <cell r="I1006">
            <v>18</v>
          </cell>
          <cell r="J1006">
            <v>7.06</v>
          </cell>
          <cell r="K1006">
            <v>6.16</v>
          </cell>
          <cell r="L1006">
            <v>127.08</v>
          </cell>
        </row>
        <row r="1007">
          <cell r="D1007" t="str">
            <v xml:space="preserve">  D.209.            </v>
          </cell>
          <cell r="E1007" t="str">
            <v xml:space="preserve">      </v>
          </cell>
          <cell r="F1007" t="str">
            <v>9.21.</v>
          </cell>
          <cell r="G1007" t="str">
            <v xml:space="preserve">Válvula de retenção, tipo esfera soldável  </v>
          </cell>
          <cell r="H1007" t="str">
            <v xml:space="preserve">      </v>
          </cell>
          <cell r="I1007">
            <v>0</v>
          </cell>
          <cell r="J1007">
            <v>0</v>
          </cell>
          <cell r="K1007">
            <v>0</v>
          </cell>
          <cell r="L1007">
            <v>0</v>
          </cell>
        </row>
        <row r="1008">
          <cell r="D1008" t="str">
            <v xml:space="preserve">  D.210.            </v>
          </cell>
          <cell r="E1008" t="str">
            <v>CP0240</v>
          </cell>
          <cell r="F1008" t="str">
            <v>9.21.1.</v>
          </cell>
          <cell r="G1008" t="str">
            <v xml:space="preserve">Válvula de retenção, tipo esfera soldável DN 20  </v>
          </cell>
          <cell r="H1008" t="str">
            <v xml:space="preserve">un    </v>
          </cell>
          <cell r="I1008">
            <v>2</v>
          </cell>
          <cell r="J1008">
            <v>21.2</v>
          </cell>
          <cell r="K1008">
            <v>17.8</v>
          </cell>
          <cell r="L1008">
            <v>42.4</v>
          </cell>
        </row>
        <row r="1009">
          <cell r="D1009" t="str">
            <v xml:space="preserve">  D.211.            </v>
          </cell>
          <cell r="E1009" t="str">
            <v>CP0239</v>
          </cell>
          <cell r="F1009" t="str">
            <v>9.21.2.</v>
          </cell>
          <cell r="G1009" t="str">
            <v xml:space="preserve">Válvula de retenção, tipo esfera soldável DN 75  </v>
          </cell>
          <cell r="H1009" t="str">
            <v xml:space="preserve">un    </v>
          </cell>
          <cell r="I1009">
            <v>2</v>
          </cell>
          <cell r="J1009">
            <v>22.78</v>
          </cell>
          <cell r="K1009">
            <v>19</v>
          </cell>
          <cell r="L1009">
            <v>45.56</v>
          </cell>
        </row>
        <row r="1010">
          <cell r="D1010" t="str">
            <v xml:space="preserve">  D.212.            </v>
          </cell>
          <cell r="E1010" t="str">
            <v>CP0240</v>
          </cell>
          <cell r="F1010" t="str">
            <v>9.22.</v>
          </cell>
          <cell r="G1010" t="str">
            <v xml:space="preserve">Registro de esfera em polipropileno ø 1, c/ rosca macho  </v>
          </cell>
          <cell r="H1010" t="str">
            <v xml:space="preserve">un    </v>
          </cell>
          <cell r="I1010">
            <v>1</v>
          </cell>
          <cell r="J1010">
            <v>21.2</v>
          </cell>
          <cell r="K1010">
            <v>36.880000000000003</v>
          </cell>
          <cell r="L1010">
            <v>21.2</v>
          </cell>
        </row>
        <row r="1011">
          <cell r="D1011" t="str">
            <v xml:space="preserve">  D.213.            </v>
          </cell>
          <cell r="E1011" t="str">
            <v>CP0238</v>
          </cell>
          <cell r="F1011" t="str">
            <v>9.23.</v>
          </cell>
          <cell r="G1011" t="str">
            <v xml:space="preserve">Comporta tipo Stop-log em fibra de vidro 60 x 100  </v>
          </cell>
          <cell r="H1011" t="str">
            <v xml:space="preserve">un    </v>
          </cell>
          <cell r="I1011">
            <v>2</v>
          </cell>
          <cell r="J1011">
            <v>310.98</v>
          </cell>
          <cell r="K1011">
            <v>260.48</v>
          </cell>
          <cell r="L1011">
            <v>621.96</v>
          </cell>
        </row>
        <row r="1012">
          <cell r="D1012" t="str">
            <v xml:space="preserve">  D.214.            </v>
          </cell>
          <cell r="E1012" t="str">
            <v>CP0239</v>
          </cell>
          <cell r="F1012" t="str">
            <v>9.24.</v>
          </cell>
          <cell r="G1012" t="str">
            <v xml:space="preserve">Conjunto filtro regulador e lubrificador com manômetro Ø 1/2 e suporte  </v>
          </cell>
          <cell r="H1012" t="str">
            <v xml:space="preserve">un    </v>
          </cell>
          <cell r="I1012">
            <v>2</v>
          </cell>
          <cell r="J1012">
            <v>22.78</v>
          </cell>
          <cell r="K1012">
            <v>70.260000000000005</v>
          </cell>
          <cell r="L1012">
            <v>45.56</v>
          </cell>
        </row>
        <row r="1013">
          <cell r="D1013" t="str">
            <v xml:space="preserve">  E.  1.            </v>
          </cell>
          <cell r="E1013" t="str">
            <v xml:space="preserve">      </v>
          </cell>
          <cell r="F1013" t="str">
            <v>0.V.</v>
          </cell>
          <cell r="G1013" t="str">
            <v xml:space="preserve">RESERVATÓRIO DE CONTATO  </v>
          </cell>
          <cell r="H1013" t="str">
            <v xml:space="preserve">      </v>
          </cell>
          <cell r="I1013">
            <v>0</v>
          </cell>
          <cell r="J1013">
            <v>0</v>
          </cell>
          <cell r="K1013">
            <v>0</v>
          </cell>
          <cell r="L1013">
            <v>0</v>
          </cell>
        </row>
        <row r="1014">
          <cell r="D1014" t="str">
            <v xml:space="preserve">  E.  2.            </v>
          </cell>
          <cell r="E1014" t="str">
            <v xml:space="preserve">      </v>
          </cell>
          <cell r="F1014" t="str">
            <v>1.</v>
          </cell>
          <cell r="G1014" t="str">
            <v xml:space="preserve">Serviços Preliminares  </v>
          </cell>
          <cell r="H1014" t="str">
            <v xml:space="preserve">      </v>
          </cell>
          <cell r="I1014">
            <v>0</v>
          </cell>
          <cell r="J1014">
            <v>0</v>
          </cell>
          <cell r="K1014">
            <v>0</v>
          </cell>
          <cell r="L1014">
            <v>0</v>
          </cell>
        </row>
        <row r="1015">
          <cell r="D1015" t="str">
            <v xml:space="preserve">  E.  3.            </v>
          </cell>
          <cell r="E1015" t="str">
            <v>CP1163</v>
          </cell>
          <cell r="F1015" t="str">
            <v>1.1.</v>
          </cell>
          <cell r="G1015" t="str">
            <v xml:space="preserve">Locacão da obra de edificação com execução de gabarito  </v>
          </cell>
          <cell r="H1015" t="str">
            <v xml:space="preserve">m2    </v>
          </cell>
          <cell r="I1015">
            <v>432</v>
          </cell>
          <cell r="J1015">
            <v>4.3099999999999996</v>
          </cell>
          <cell r="K1015">
            <v>3.61</v>
          </cell>
          <cell r="L1015">
            <v>1861.92</v>
          </cell>
        </row>
        <row r="1016">
          <cell r="D1016" t="str">
            <v xml:space="preserve">  E.  4.            </v>
          </cell>
          <cell r="E1016" t="str">
            <v>CP1152</v>
          </cell>
          <cell r="F1016" t="str">
            <v>1.2.</v>
          </cell>
          <cell r="G1016" t="str">
            <v xml:space="preserve">Limpeza mecânica do terreno  </v>
          </cell>
          <cell r="H1016" t="str">
            <v xml:space="preserve">m2    </v>
          </cell>
          <cell r="I1016">
            <v>432</v>
          </cell>
          <cell r="J1016">
            <v>0.55000000000000004</v>
          </cell>
          <cell r="K1016">
            <v>0.46</v>
          </cell>
          <cell r="L1016">
            <v>237.6</v>
          </cell>
        </row>
        <row r="1017">
          <cell r="D1017" t="str">
            <v xml:space="preserve">  E.  5.            </v>
          </cell>
          <cell r="E1017" t="str">
            <v xml:space="preserve">      </v>
          </cell>
          <cell r="F1017" t="str">
            <v>2.</v>
          </cell>
          <cell r="G1017" t="str">
            <v xml:space="preserve">Movimento de Terra  </v>
          </cell>
          <cell r="H1017" t="str">
            <v xml:space="preserve">      </v>
          </cell>
          <cell r="I1017">
            <v>0</v>
          </cell>
          <cell r="J1017">
            <v>0</v>
          </cell>
          <cell r="K1017">
            <v>0</v>
          </cell>
          <cell r="L1017">
            <v>0</v>
          </cell>
        </row>
        <row r="1018">
          <cell r="D1018" t="str">
            <v xml:space="preserve">  E.  6.            </v>
          </cell>
          <cell r="E1018" t="str">
            <v>CP1141</v>
          </cell>
          <cell r="F1018" t="str">
            <v>2.1.</v>
          </cell>
          <cell r="G1018" t="str">
            <v xml:space="preserve">Escavação mecânica em áreas solo de qualquer natureza exceto rocha, inclusive carga e descarga  </v>
          </cell>
          <cell r="H1018" t="str">
            <v xml:space="preserve">m³    </v>
          </cell>
          <cell r="I1018">
            <v>2600</v>
          </cell>
          <cell r="J1018">
            <v>3.89</v>
          </cell>
          <cell r="K1018">
            <v>5.55</v>
          </cell>
          <cell r="L1018">
            <v>10114</v>
          </cell>
        </row>
        <row r="1019">
          <cell r="D1019" t="str">
            <v xml:space="preserve">  E.  7.            </v>
          </cell>
          <cell r="E1019" t="str">
            <v>CP1109</v>
          </cell>
          <cell r="F1019" t="str">
            <v>2.2.</v>
          </cell>
          <cell r="G1019" t="str">
            <v xml:space="preserve">Extração de rocha a frio em valas  </v>
          </cell>
          <cell r="H1019" t="str">
            <v xml:space="preserve">m³    </v>
          </cell>
          <cell r="I1019">
            <v>45</v>
          </cell>
          <cell r="J1019">
            <v>302.83999999999997</v>
          </cell>
          <cell r="K1019">
            <v>432.63</v>
          </cell>
          <cell r="L1019">
            <v>13627.8</v>
          </cell>
        </row>
        <row r="1020">
          <cell r="D1020" t="str">
            <v xml:space="preserve">  E.  8.            </v>
          </cell>
          <cell r="E1020" t="str">
            <v>CP1131</v>
          </cell>
          <cell r="F1020" t="str">
            <v>2.3.</v>
          </cell>
          <cell r="G1020" t="str">
            <v xml:space="preserve">Escavação manual material de 1ª categoria prof. até 1,50m  </v>
          </cell>
          <cell r="H1020" t="str">
            <v xml:space="preserve">m³    </v>
          </cell>
          <cell r="I1020">
            <v>650</v>
          </cell>
          <cell r="J1020">
            <v>20.89</v>
          </cell>
          <cell r="K1020">
            <v>19.02</v>
          </cell>
          <cell r="L1020">
            <v>13578.5</v>
          </cell>
        </row>
        <row r="1021">
          <cell r="D1021" t="str">
            <v xml:space="preserve">  E.  9.            </v>
          </cell>
          <cell r="E1021" t="str">
            <v>CP1122</v>
          </cell>
          <cell r="F1021" t="str">
            <v>2.4.</v>
          </cell>
          <cell r="G1021" t="str">
            <v xml:space="preserve">Escavação manual material de 1ª categoria prof. 1,50 m até 3,00m  </v>
          </cell>
          <cell r="H1021" t="str">
            <v xml:space="preserve">m³    </v>
          </cell>
          <cell r="I1021">
            <v>980</v>
          </cell>
          <cell r="J1021">
            <v>25.56</v>
          </cell>
          <cell r="K1021">
            <v>26.63</v>
          </cell>
          <cell r="L1021">
            <v>25048.799999999999</v>
          </cell>
        </row>
        <row r="1022">
          <cell r="D1022" t="str">
            <v xml:space="preserve">  E. 10.            </v>
          </cell>
          <cell r="E1022" t="str">
            <v>CP1085</v>
          </cell>
          <cell r="F1022" t="str">
            <v>2.5.</v>
          </cell>
          <cell r="G1022" t="str">
            <v xml:space="preserve">Carga mecânica de material em caminhão basculante  </v>
          </cell>
          <cell r="H1022" t="str">
            <v xml:space="preserve">m³    </v>
          </cell>
          <cell r="I1022">
            <v>5558</v>
          </cell>
          <cell r="J1022">
            <v>1.23</v>
          </cell>
          <cell r="K1022">
            <v>1.74</v>
          </cell>
          <cell r="L1022">
            <v>6836.34</v>
          </cell>
        </row>
        <row r="1023">
          <cell r="D1023" t="str">
            <v xml:space="preserve">  E. 11.            </v>
          </cell>
          <cell r="E1023" t="str">
            <v>CP1070</v>
          </cell>
          <cell r="F1023" t="str">
            <v>2.6.</v>
          </cell>
          <cell r="G1023" t="str">
            <v xml:space="preserve">Transporte mecânico de material em caminhão basculante  </v>
          </cell>
          <cell r="H1023" t="str">
            <v xml:space="preserve">m³xkm </v>
          </cell>
          <cell r="I1023">
            <v>55580</v>
          </cell>
          <cell r="J1023">
            <v>2.38</v>
          </cell>
          <cell r="K1023">
            <v>2.35</v>
          </cell>
          <cell r="L1023">
            <v>132280.4</v>
          </cell>
        </row>
        <row r="1024">
          <cell r="D1024" t="str">
            <v xml:space="preserve">  E. 12.            </v>
          </cell>
          <cell r="E1024" t="str">
            <v xml:space="preserve">      </v>
          </cell>
          <cell r="F1024" t="str">
            <v>3.</v>
          </cell>
          <cell r="G1024" t="str">
            <v xml:space="preserve">Estruturas de Concreto (incluindo obras diversas)  </v>
          </cell>
          <cell r="H1024" t="str">
            <v xml:space="preserve">      </v>
          </cell>
          <cell r="I1024">
            <v>0</v>
          </cell>
          <cell r="J1024">
            <v>0</v>
          </cell>
          <cell r="K1024">
            <v>0</v>
          </cell>
          <cell r="L1024">
            <v>0</v>
          </cell>
        </row>
        <row r="1025">
          <cell r="D1025" t="str">
            <v xml:space="preserve">  E. 13.            </v>
          </cell>
          <cell r="E1025" t="str">
            <v xml:space="preserve">      </v>
          </cell>
          <cell r="F1025" t="str">
            <v>3.1.</v>
          </cell>
          <cell r="G1025" t="str">
            <v xml:space="preserve">Escavação e concretagem de tubulões mecanizados  </v>
          </cell>
          <cell r="H1025" t="str">
            <v xml:space="preserve">      </v>
          </cell>
          <cell r="I1025">
            <v>0</v>
          </cell>
          <cell r="J1025">
            <v>0</v>
          </cell>
          <cell r="K1025">
            <v>0</v>
          </cell>
          <cell r="L1025">
            <v>0</v>
          </cell>
        </row>
        <row r="1026">
          <cell r="D1026" t="str">
            <v xml:space="preserve">  E. 14.            </v>
          </cell>
          <cell r="E1026" t="str">
            <v>CP0088</v>
          </cell>
          <cell r="F1026" t="str">
            <v>3.1.1.</v>
          </cell>
          <cell r="G1026" t="str">
            <v xml:space="preserve">Escavação e concretagem de tubulões mecanizados D = 30 cm  </v>
          </cell>
          <cell r="H1026" t="str">
            <v xml:space="preserve">m     </v>
          </cell>
          <cell r="I1026">
            <v>96</v>
          </cell>
          <cell r="J1026">
            <v>80.77</v>
          </cell>
          <cell r="K1026">
            <v>81.42</v>
          </cell>
          <cell r="L1026">
            <v>7753.92</v>
          </cell>
        </row>
        <row r="1027">
          <cell r="D1027" t="str">
            <v xml:space="preserve">  E. 15.            </v>
          </cell>
          <cell r="E1027" t="str">
            <v>CP0077</v>
          </cell>
          <cell r="F1027" t="str">
            <v>3.1.2.</v>
          </cell>
          <cell r="G1027" t="str">
            <v xml:space="preserve">Escavação e concretagem de tubulões mecanizados D = 50 cm  </v>
          </cell>
          <cell r="H1027" t="str">
            <v xml:space="preserve">m     </v>
          </cell>
          <cell r="I1027">
            <v>512</v>
          </cell>
          <cell r="J1027">
            <v>159.41</v>
          </cell>
          <cell r="K1027">
            <v>145.24</v>
          </cell>
          <cell r="L1027">
            <v>81617.919999999998</v>
          </cell>
        </row>
        <row r="1028">
          <cell r="D1028" t="str">
            <v xml:space="preserve">  E. 16.            </v>
          </cell>
          <cell r="E1028" t="str">
            <v>CP0075</v>
          </cell>
          <cell r="F1028" t="str">
            <v>3.1.3.</v>
          </cell>
          <cell r="G1028" t="str">
            <v xml:space="preserve">Escavação e concretagem de tubulões mecanizados D = 60 cm  </v>
          </cell>
          <cell r="H1028" t="str">
            <v xml:space="preserve">m     </v>
          </cell>
          <cell r="I1028">
            <v>230</v>
          </cell>
          <cell r="J1028">
            <v>210.19</v>
          </cell>
          <cell r="K1028">
            <v>259</v>
          </cell>
          <cell r="L1028">
            <v>48343.7</v>
          </cell>
        </row>
        <row r="1029">
          <cell r="D1029" t="str">
            <v xml:space="preserve">  E. 17.            </v>
          </cell>
          <cell r="E1029" t="str">
            <v>CP0072</v>
          </cell>
          <cell r="F1029" t="str">
            <v>3.1.4.</v>
          </cell>
          <cell r="G1029" t="str">
            <v xml:space="preserve">Escavação e concretagem de tubulões mecanizados D = 70 cm  </v>
          </cell>
          <cell r="H1029" t="str">
            <v xml:space="preserve">m     </v>
          </cell>
          <cell r="I1029">
            <v>45</v>
          </cell>
          <cell r="J1029">
            <v>284.89</v>
          </cell>
          <cell r="K1029">
            <v>319.92</v>
          </cell>
          <cell r="L1029">
            <v>12820.05</v>
          </cell>
        </row>
        <row r="1030">
          <cell r="D1030" t="str">
            <v xml:space="preserve">  E. 18.            </v>
          </cell>
          <cell r="E1030" t="str">
            <v>CP0061</v>
          </cell>
          <cell r="F1030" t="str">
            <v>3.2.</v>
          </cell>
          <cell r="G1030" t="str">
            <v xml:space="preserve">Formas planas para estruturas em chapa de madeira plastificada - 02 reaproveitamentos, inclusive desforma  </v>
          </cell>
          <cell r="H1030" t="str">
            <v xml:space="preserve">m²    </v>
          </cell>
          <cell r="I1030">
            <v>2557</v>
          </cell>
          <cell r="J1030">
            <v>87.97</v>
          </cell>
          <cell r="K1030">
            <v>73.349999999999994</v>
          </cell>
          <cell r="L1030">
            <v>224939.29</v>
          </cell>
        </row>
        <row r="1031">
          <cell r="D1031" t="str">
            <v xml:space="preserve">  E. 19.            </v>
          </cell>
          <cell r="E1031" t="str">
            <v>CP1056</v>
          </cell>
          <cell r="F1031" t="str">
            <v>3.3.</v>
          </cell>
          <cell r="G1031" t="str">
            <v xml:space="preserve">Armadura de aço CA-50, com fornecimento do material Corte e dobra  </v>
          </cell>
          <cell r="H1031" t="str">
            <v xml:space="preserve">kg    </v>
          </cell>
          <cell r="I1031">
            <v>49520</v>
          </cell>
          <cell r="J1031">
            <v>6.9</v>
          </cell>
          <cell r="K1031">
            <v>5.78</v>
          </cell>
          <cell r="L1031">
            <v>341688</v>
          </cell>
        </row>
        <row r="1032">
          <cell r="D1032" t="str">
            <v xml:space="preserve">  E. 20.            </v>
          </cell>
          <cell r="E1032" t="str">
            <v>CP0095</v>
          </cell>
          <cell r="F1032" t="str">
            <v>3.4.</v>
          </cell>
          <cell r="G1032" t="str">
            <v xml:space="preserve">Fornecimento e lançamento de concreto usinado 21 MPA com cimento alto forno, brita granítica e adição de microsílica  </v>
          </cell>
          <cell r="H1032" t="str">
            <v xml:space="preserve">m³    </v>
          </cell>
          <cell r="I1032">
            <v>420</v>
          </cell>
          <cell r="J1032">
            <v>378.14</v>
          </cell>
          <cell r="K1032">
            <v>315.63</v>
          </cell>
          <cell r="L1032">
            <v>158818.79999999999</v>
          </cell>
        </row>
        <row r="1033">
          <cell r="D1033" t="str">
            <v xml:space="preserve">  E. 21.            </v>
          </cell>
          <cell r="E1033" t="str">
            <v>CP0052</v>
          </cell>
          <cell r="F1033" t="str">
            <v>3.5.</v>
          </cell>
          <cell r="G1033" t="str">
            <v xml:space="preserve">Preparo e lançamento de concreto simples mínimo de 150 kg cimento/m³  </v>
          </cell>
          <cell r="H1033" t="str">
            <v xml:space="preserve">m³    </v>
          </cell>
          <cell r="I1033">
            <v>35</v>
          </cell>
          <cell r="J1033">
            <v>284.95</v>
          </cell>
          <cell r="K1033">
            <v>237.1</v>
          </cell>
          <cell r="L1033">
            <v>9973.25</v>
          </cell>
        </row>
        <row r="1034">
          <cell r="D1034" t="str">
            <v xml:space="preserve">  E. 22.            </v>
          </cell>
          <cell r="E1034" t="str">
            <v xml:space="preserve">      </v>
          </cell>
          <cell r="F1034" t="str">
            <v>4.</v>
          </cell>
          <cell r="G1034" t="str">
            <v xml:space="preserve">Fornecimento de Equipamentos Hidráulicos, Mecânicos e Eletromecânicos, conforme Especificações Técnicas, relativas a cada Equipamento  </v>
          </cell>
          <cell r="H1034" t="str">
            <v xml:space="preserve">      </v>
          </cell>
          <cell r="I1034">
            <v>0</v>
          </cell>
          <cell r="J1034">
            <v>0</v>
          </cell>
          <cell r="K1034">
            <v>0</v>
          </cell>
          <cell r="L1034">
            <v>0</v>
          </cell>
        </row>
        <row r="1035">
          <cell r="D1035" t="str">
            <v xml:space="preserve">  E. 23.            </v>
          </cell>
          <cell r="E1035" t="str">
            <v>CP1196</v>
          </cell>
          <cell r="F1035" t="str">
            <v>4.1.</v>
          </cell>
          <cell r="G1035" t="str">
            <v xml:space="preserve">Comportas de ferro fundido circulares DN 1800 completa incluindo pedestais de suspensão, com acionamento elétrico, mancais intermediários F1 1/8 e luva com haste de prolongamento F1 1/8  </v>
          </cell>
          <cell r="H1035" t="str">
            <v xml:space="preserve">un    </v>
          </cell>
          <cell r="I1035">
            <v>1</v>
          </cell>
          <cell r="J1035">
            <v>237295.86</v>
          </cell>
          <cell r="K1035">
            <v>338994.09</v>
          </cell>
          <cell r="L1035">
            <v>237295.86</v>
          </cell>
        </row>
        <row r="1036">
          <cell r="D1036" t="str">
            <v xml:space="preserve">  E. 24.            </v>
          </cell>
          <cell r="E1036" t="str">
            <v xml:space="preserve">      </v>
          </cell>
          <cell r="F1036" t="str">
            <v>5.</v>
          </cell>
          <cell r="G1036" t="str">
            <v xml:space="preserve">Montagem de Equipamentos Hidráulicos, Mecânicos e Eletromecânicos, conforme Especificações Técnicas, Relativas a cada Equipamento  </v>
          </cell>
          <cell r="H1036" t="str">
            <v xml:space="preserve">      </v>
          </cell>
          <cell r="I1036">
            <v>0</v>
          </cell>
          <cell r="J1036">
            <v>0</v>
          </cell>
          <cell r="K1036">
            <v>0</v>
          </cell>
          <cell r="L1036">
            <v>0</v>
          </cell>
        </row>
        <row r="1037">
          <cell r="D1037" t="str">
            <v xml:space="preserve">  E. 25.            </v>
          </cell>
          <cell r="E1037" t="str">
            <v>CP0226</v>
          </cell>
          <cell r="F1037" t="str">
            <v>5.1.</v>
          </cell>
          <cell r="G1037" t="str">
            <v xml:space="preserve">Comportas de ferro fundido circulares DN 1800 completa incluindo pedestais de suspensão, com acionamento elétrico, mancais intermediários F1 1/8 e luva com haste de prolongamento F1 1/8  </v>
          </cell>
          <cell r="H1037" t="str">
            <v xml:space="preserve">un    </v>
          </cell>
          <cell r="I1037">
            <v>1</v>
          </cell>
          <cell r="J1037">
            <v>2498.91</v>
          </cell>
          <cell r="K1037">
            <v>2092.6799999999998</v>
          </cell>
          <cell r="L1037">
            <v>2498.91</v>
          </cell>
        </row>
        <row r="1038">
          <cell r="D1038" t="str">
            <v xml:space="preserve">  E. 26.            </v>
          </cell>
          <cell r="E1038" t="str">
            <v xml:space="preserve">      </v>
          </cell>
          <cell r="F1038" t="str">
            <v>6.</v>
          </cell>
          <cell r="G1038" t="str">
            <v xml:space="preserve">Fornecimento de Tubos, Peças, Conexões e Aparelhos Hidráulicos  </v>
          </cell>
          <cell r="H1038" t="str">
            <v xml:space="preserve">      </v>
          </cell>
          <cell r="I1038">
            <v>0</v>
          </cell>
          <cell r="J1038">
            <v>0</v>
          </cell>
          <cell r="K1038">
            <v>0</v>
          </cell>
          <cell r="L1038">
            <v>0</v>
          </cell>
        </row>
        <row r="1039">
          <cell r="D1039" t="str">
            <v xml:space="preserve">  E. 27.            </v>
          </cell>
          <cell r="E1039" t="str">
            <v xml:space="preserve">      </v>
          </cell>
          <cell r="F1039" t="str">
            <v>6.1.</v>
          </cell>
          <cell r="G1039" t="str">
            <v xml:space="preserve">Tubos de aço carbono ASTM A-36/93, calandrados e soldados pelo processo do arco submerso, com pontas biseladas para solda em campo e/ou flangeadas. Revestimento interno e externo com tinta epoxi.  </v>
          </cell>
          <cell r="H1039" t="str">
            <v xml:space="preserve">      </v>
          </cell>
          <cell r="I1039">
            <v>0</v>
          </cell>
          <cell r="J1039">
            <v>0</v>
          </cell>
          <cell r="K1039">
            <v>0</v>
          </cell>
          <cell r="L1039">
            <v>0</v>
          </cell>
        </row>
        <row r="1040">
          <cell r="D1040" t="str">
            <v xml:space="preserve">  E. 28.            </v>
          </cell>
          <cell r="E1040" t="str">
            <v>CP1324</v>
          </cell>
          <cell r="F1040" t="str">
            <v>6.1.1.</v>
          </cell>
          <cell r="G1040" t="str">
            <v xml:space="preserve">Tubos de aço carbono ASTM A-36/93, calandrados e soldados pelo processo do arco submerso, com pontas biseladas para solda em campo e/ou flangeadas. Revestimento interno e externo com tinta epoxi. DN 1200, esp. 3/8, L = 2,50 m com pontas  </v>
          </cell>
          <cell r="H1040" t="str">
            <v xml:space="preserve">pç    </v>
          </cell>
          <cell r="I1040">
            <v>1</v>
          </cell>
          <cell r="J1040">
            <v>11397.6</v>
          </cell>
          <cell r="K1040">
            <v>11291.35</v>
          </cell>
          <cell r="L1040">
            <v>11397.6</v>
          </cell>
        </row>
        <row r="1041">
          <cell r="D1041" t="str">
            <v xml:space="preserve">  E. 29.            </v>
          </cell>
          <cell r="E1041" t="str">
            <v>CP1331</v>
          </cell>
          <cell r="F1041" t="str">
            <v>6.1.2.</v>
          </cell>
          <cell r="G1041" t="str">
            <v xml:space="preserve">Tubos de aço carbono ASTM A-36/93, calandrados e soldados pelo processo do arco submerso, com pontas biseladas para solda em campo e/ou flangeadas. Revestimento interno e externo com tinta epoxi. DN 1800, esp. 3/8, L = 1,50 m, c/pontas e aba de vedação  </v>
          </cell>
          <cell r="H1041" t="str">
            <v xml:space="preserve">pç    </v>
          </cell>
          <cell r="I1041">
            <v>1</v>
          </cell>
          <cell r="J1041">
            <v>9212.1299999999992</v>
          </cell>
          <cell r="K1041">
            <v>10884.01</v>
          </cell>
          <cell r="L1041">
            <v>9212.1299999999992</v>
          </cell>
        </row>
        <row r="1042">
          <cell r="D1042" t="str">
            <v xml:space="preserve">  E. 30.            </v>
          </cell>
          <cell r="E1042" t="str">
            <v>CP1322</v>
          </cell>
          <cell r="F1042" t="str">
            <v>6.1.3.</v>
          </cell>
          <cell r="G1042" t="str">
            <v xml:space="preserve">Tubos de aço carbono ASTM A-36/93, calandrados e soldados pelo processo do arco submerso, com pontas biseladas para solda em campo e/ou flangeadas. Revestimento interno e externo com tinta epoxi. DN 2000, esp. 1/2, L = 1,50 m, c/pontas e aba de vedação  </v>
          </cell>
          <cell r="H1042" t="str">
            <v xml:space="preserve">pç    </v>
          </cell>
          <cell r="I1042">
            <v>1</v>
          </cell>
          <cell r="J1042">
            <v>13387.61</v>
          </cell>
          <cell r="K1042">
            <v>15254.95</v>
          </cell>
          <cell r="L1042">
            <v>13387.61</v>
          </cell>
        </row>
        <row r="1043">
          <cell r="D1043" t="str">
            <v xml:space="preserve">  E. 31.            </v>
          </cell>
          <cell r="E1043" t="str">
            <v xml:space="preserve">      </v>
          </cell>
          <cell r="F1043" t="str">
            <v>6.2.</v>
          </cell>
          <cell r="G1043" t="str">
            <v xml:space="preserve">Tubo de concreto armado, ponta e bolsa, classe C1:  </v>
          </cell>
          <cell r="H1043" t="str">
            <v xml:space="preserve">      </v>
          </cell>
          <cell r="I1043">
            <v>0</v>
          </cell>
          <cell r="J1043">
            <v>0</v>
          </cell>
          <cell r="K1043">
            <v>0</v>
          </cell>
          <cell r="L1043">
            <v>0</v>
          </cell>
        </row>
        <row r="1044">
          <cell r="D1044" t="str">
            <v xml:space="preserve">  E. 32.            </v>
          </cell>
          <cell r="E1044" t="str">
            <v>CP2107</v>
          </cell>
          <cell r="F1044" t="str">
            <v>6.2.1.</v>
          </cell>
          <cell r="G1044" t="str">
            <v xml:space="preserve">Tubo de concreto armado, ponta e bolsa, classe C1: DN 150  </v>
          </cell>
          <cell r="H1044" t="str">
            <v xml:space="preserve">m     </v>
          </cell>
          <cell r="I1044">
            <v>17</v>
          </cell>
          <cell r="J1044">
            <v>6.17</v>
          </cell>
          <cell r="K1044">
            <v>5.16</v>
          </cell>
          <cell r="L1044">
            <v>104.89</v>
          </cell>
        </row>
        <row r="1045">
          <cell r="D1045" t="str">
            <v xml:space="preserve">  E. 33.            </v>
          </cell>
          <cell r="E1045" t="str">
            <v xml:space="preserve">      </v>
          </cell>
          <cell r="F1045" t="str">
            <v>6.3.</v>
          </cell>
          <cell r="G1045" t="str">
            <v xml:space="preserve">Tubos e conexões em ferro dúctil, centrifugados, c/ revestimento interno de cimento e externo em pintura betuminosa anticorrosiva na cor preta.  </v>
          </cell>
          <cell r="H1045" t="str">
            <v xml:space="preserve">      </v>
          </cell>
          <cell r="I1045">
            <v>0</v>
          </cell>
          <cell r="J1045">
            <v>0</v>
          </cell>
          <cell r="K1045">
            <v>0</v>
          </cell>
          <cell r="L1045">
            <v>0</v>
          </cell>
        </row>
        <row r="1046">
          <cell r="D1046" t="str">
            <v xml:space="preserve">  E. 34.            </v>
          </cell>
          <cell r="E1046" t="str">
            <v xml:space="preserve">      </v>
          </cell>
          <cell r="F1046" t="str">
            <v>6.3.1.</v>
          </cell>
          <cell r="G1046" t="str">
            <v xml:space="preserve">Tubos e conexões em ferro dúctil, centrifugados, c/ revestimento interno de cimento e externo em pintura betuminosa anticorrosiva na cor preta. Curva 90º com flanges, PN 10  </v>
          </cell>
          <cell r="H1046" t="str">
            <v xml:space="preserve">      </v>
          </cell>
          <cell r="I1046">
            <v>0</v>
          </cell>
          <cell r="J1046">
            <v>0</v>
          </cell>
          <cell r="K1046">
            <v>0</v>
          </cell>
          <cell r="L1046">
            <v>0</v>
          </cell>
        </row>
        <row r="1047">
          <cell r="D1047" t="str">
            <v xml:space="preserve">  E. 35.            </v>
          </cell>
          <cell r="E1047" t="str">
            <v>CP1002</v>
          </cell>
          <cell r="F1047" t="str">
            <v>6.3.1.1.</v>
          </cell>
          <cell r="G1047" t="str">
            <v xml:space="preserve">Tubos e conexões em ferro dúctil, centrifugados, c/ revestimento interno de cimento e externo em pintura betuminosa anticorrosiva na cor preta. Curva 90o com flanges, PN 10 DN 200  </v>
          </cell>
          <cell r="H1047" t="str">
            <v xml:space="preserve">pç    </v>
          </cell>
          <cell r="I1047">
            <v>60</v>
          </cell>
          <cell r="J1047">
            <v>434.47</v>
          </cell>
          <cell r="K1047">
            <v>420.61</v>
          </cell>
          <cell r="L1047">
            <v>26068.2</v>
          </cell>
        </row>
        <row r="1048">
          <cell r="D1048" t="str">
            <v xml:space="preserve">  E. 36.            </v>
          </cell>
          <cell r="E1048" t="str">
            <v xml:space="preserve">      </v>
          </cell>
          <cell r="F1048" t="str">
            <v>6.3.2.</v>
          </cell>
          <cell r="G1048" t="str">
            <v xml:space="preserve">Tubos e conexões em ferro dúctil, centrifugados, c/ revestimento interno de cimento e externo em pintura betuminosa anticorrosiva na cor preta. Extremidade ponta e flange com aba de vedação, PN 10  </v>
          </cell>
          <cell r="H1048" t="str">
            <v xml:space="preserve">      </v>
          </cell>
          <cell r="I1048">
            <v>0</v>
          </cell>
          <cell r="J1048">
            <v>0</v>
          </cell>
          <cell r="K1048">
            <v>0</v>
          </cell>
          <cell r="L1048">
            <v>0</v>
          </cell>
        </row>
        <row r="1049">
          <cell r="D1049" t="str">
            <v xml:space="preserve">  E. 37.            </v>
          </cell>
          <cell r="E1049" t="str">
            <v>CP0995</v>
          </cell>
          <cell r="F1049" t="str">
            <v>6.3.2.1.</v>
          </cell>
          <cell r="G1049" t="str">
            <v xml:space="preserve">Tubos e conexões em ferro dúctil, centrifugados, c/ revestimento interno de cimento e externo em pintura betuminosa anticorrosiva na cor preta. Extremidade ponta e flange com aba de vedação, PN 10 DN 200  </v>
          </cell>
          <cell r="H1049" t="str">
            <v xml:space="preserve">pç    </v>
          </cell>
          <cell r="I1049">
            <v>31</v>
          </cell>
          <cell r="J1049">
            <v>469.72</v>
          </cell>
          <cell r="K1049">
            <v>392.49</v>
          </cell>
          <cell r="L1049">
            <v>14561.32</v>
          </cell>
        </row>
        <row r="1050">
          <cell r="D1050" t="str">
            <v xml:space="preserve">  E. 38.            </v>
          </cell>
          <cell r="E1050" t="str">
            <v>CP4600</v>
          </cell>
          <cell r="F1050" t="str">
            <v>6.3.3.</v>
          </cell>
          <cell r="G1050" t="str">
            <v xml:space="preserve">Tubos e conexões em ferro dúctil, centrifugados, c/ revestimento interno de cimento e externo em pintura betuminosa anticorrosiva na cor preta. Pedestal de manobra simples, PMS-01  </v>
          </cell>
          <cell r="H1050" t="str">
            <v xml:space="preserve">un    </v>
          </cell>
          <cell r="I1050">
            <v>1</v>
          </cell>
          <cell r="J1050">
            <v>431.69</v>
          </cell>
          <cell r="K1050">
            <v>362.56</v>
          </cell>
          <cell r="L1050">
            <v>431.69</v>
          </cell>
        </row>
        <row r="1051">
          <cell r="D1051" t="str">
            <v xml:space="preserve">  E. 39.            </v>
          </cell>
          <cell r="E1051" t="str">
            <v>CP1427</v>
          </cell>
          <cell r="F1051" t="str">
            <v>6.4.</v>
          </cell>
          <cell r="G1051" t="str">
            <v xml:space="preserve">Adufas de parede, DN 200 PN 10  </v>
          </cell>
          <cell r="H1051" t="str">
            <v xml:space="preserve">un    </v>
          </cell>
          <cell r="I1051">
            <v>1</v>
          </cell>
          <cell r="J1051">
            <v>1052.22</v>
          </cell>
          <cell r="K1051">
            <v>880.75</v>
          </cell>
          <cell r="L1051">
            <v>1052.22</v>
          </cell>
        </row>
        <row r="1052">
          <cell r="D1052" t="str">
            <v xml:space="preserve">  E. 40.            </v>
          </cell>
          <cell r="E1052" t="str">
            <v>CP1367</v>
          </cell>
          <cell r="F1052" t="str">
            <v>6.5.</v>
          </cell>
          <cell r="G1052" t="str">
            <v xml:space="preserve">Acessórios para juntas flangeadas de tubos, conexões e aparelhos em Aço e Ferro Fundido  </v>
          </cell>
          <cell r="H1052" t="str">
            <v xml:space="preserve">pç    </v>
          </cell>
          <cell r="I1052">
            <v>1</v>
          </cell>
          <cell r="J1052">
            <v>7904.07</v>
          </cell>
          <cell r="K1052">
            <v>11291.53</v>
          </cell>
          <cell r="L1052">
            <v>7904.07</v>
          </cell>
        </row>
        <row r="1053">
          <cell r="D1053" t="str">
            <v xml:space="preserve">  E. 41.            </v>
          </cell>
          <cell r="E1053" t="str">
            <v xml:space="preserve">      </v>
          </cell>
          <cell r="F1053" t="str">
            <v>7.</v>
          </cell>
          <cell r="G1053" t="str">
            <v xml:space="preserve">Assentamento de Tubos, Peças, Conexões e Aparelhos Hidráulicos  </v>
          </cell>
          <cell r="H1053" t="str">
            <v xml:space="preserve">      </v>
          </cell>
          <cell r="I1053">
            <v>0</v>
          </cell>
          <cell r="J1053">
            <v>0</v>
          </cell>
          <cell r="K1053">
            <v>0</v>
          </cell>
          <cell r="L1053">
            <v>0</v>
          </cell>
        </row>
        <row r="1054">
          <cell r="D1054" t="str">
            <v xml:space="preserve">  E. 42.            </v>
          </cell>
          <cell r="E1054" t="str">
            <v xml:space="preserve">      </v>
          </cell>
          <cell r="F1054" t="str">
            <v>7.1.</v>
          </cell>
          <cell r="G1054" t="str">
            <v xml:space="preserve">Assentamento de Tubos de Concreto  </v>
          </cell>
          <cell r="H1054" t="str">
            <v xml:space="preserve">      </v>
          </cell>
          <cell r="I1054">
            <v>0</v>
          </cell>
          <cell r="J1054">
            <v>0</v>
          </cell>
          <cell r="K1054">
            <v>0</v>
          </cell>
          <cell r="L1054">
            <v>0</v>
          </cell>
        </row>
        <row r="1055">
          <cell r="D1055" t="str">
            <v xml:space="preserve">  E. 43.            </v>
          </cell>
          <cell r="E1055" t="str">
            <v>CP0173</v>
          </cell>
          <cell r="F1055" t="str">
            <v>7.1.1.</v>
          </cell>
          <cell r="G1055" t="str">
            <v xml:space="preserve">Assentamento de Tubos de Concreto Classe C1: DN 150  </v>
          </cell>
          <cell r="H1055" t="str">
            <v xml:space="preserve">m     </v>
          </cell>
          <cell r="I1055">
            <v>17</v>
          </cell>
          <cell r="J1055">
            <v>13.14</v>
          </cell>
          <cell r="K1055">
            <v>13.09</v>
          </cell>
          <cell r="L1055">
            <v>223.38</v>
          </cell>
        </row>
        <row r="1056">
          <cell r="D1056" t="str">
            <v xml:space="preserve">  E. 44.            </v>
          </cell>
          <cell r="E1056" t="str">
            <v>CP0148</v>
          </cell>
          <cell r="F1056" t="str">
            <v>7.2.</v>
          </cell>
          <cell r="G1056" t="str">
            <v xml:space="preserve">Montagem de peças, conexões, equipamentos e aparelhos hidráulicos em ferro fundido  </v>
          </cell>
          <cell r="H1056" t="str">
            <v xml:space="preserve">KG    </v>
          </cell>
          <cell r="I1056">
            <v>3218</v>
          </cell>
          <cell r="J1056">
            <v>1.33</v>
          </cell>
          <cell r="K1056">
            <v>1.1100000000000001</v>
          </cell>
          <cell r="L1056">
            <v>4279.9399999999996</v>
          </cell>
        </row>
        <row r="1057">
          <cell r="D1057" t="str">
            <v xml:space="preserve">  E. 45.            </v>
          </cell>
          <cell r="E1057" t="str">
            <v>CP0169</v>
          </cell>
          <cell r="F1057" t="str">
            <v>7.3.</v>
          </cell>
          <cell r="G1057" t="str">
            <v xml:space="preserve">Montagem de peças, conexões, equipamentos e aparelhos hidráulicos em aço  </v>
          </cell>
          <cell r="H1057" t="str">
            <v xml:space="preserve">KG    </v>
          </cell>
          <cell r="I1057">
            <v>2513</v>
          </cell>
          <cell r="J1057">
            <v>4.42</v>
          </cell>
          <cell r="K1057">
            <v>3.71</v>
          </cell>
          <cell r="L1057">
            <v>11107.46</v>
          </cell>
        </row>
        <row r="1058">
          <cell r="D1058" t="str">
            <v xml:space="preserve">  E. 46.            </v>
          </cell>
          <cell r="E1058" t="str">
            <v xml:space="preserve">      </v>
          </cell>
          <cell r="F1058" t="str">
            <v>8.</v>
          </cell>
          <cell r="G1058" t="str">
            <v xml:space="preserve">Fornecimento de Materiais para Instalações de Processo  </v>
          </cell>
          <cell r="H1058" t="str">
            <v xml:space="preserve">      </v>
          </cell>
          <cell r="I1058">
            <v>0</v>
          </cell>
          <cell r="J1058">
            <v>0</v>
          </cell>
          <cell r="K1058">
            <v>0</v>
          </cell>
          <cell r="L1058">
            <v>0</v>
          </cell>
        </row>
        <row r="1059">
          <cell r="D1059" t="str">
            <v xml:space="preserve">  E. 47.            </v>
          </cell>
          <cell r="E1059" t="str">
            <v xml:space="preserve">      </v>
          </cell>
          <cell r="F1059" t="str">
            <v>8.1.</v>
          </cell>
          <cell r="G1059" t="str">
            <v xml:space="preserve">Conexões em polipropileno, pressão nominal de 10 kg/cm², TUBELLI ou similar  </v>
          </cell>
          <cell r="H1059" t="str">
            <v xml:space="preserve">      </v>
          </cell>
          <cell r="I1059">
            <v>0</v>
          </cell>
          <cell r="J1059">
            <v>0</v>
          </cell>
          <cell r="K1059">
            <v>0</v>
          </cell>
          <cell r="L1059">
            <v>0</v>
          </cell>
        </row>
        <row r="1060">
          <cell r="D1060" t="str">
            <v xml:space="preserve">  E. 48.            </v>
          </cell>
          <cell r="E1060" t="str">
            <v>CP0852</v>
          </cell>
          <cell r="F1060" t="str">
            <v>8.1.1.</v>
          </cell>
          <cell r="G1060" t="str">
            <v xml:space="preserve">Conexões em polipropileno, pressão nominal de 10 kg/cm², TUBELLI ou similar Cap. soldável DN 85  </v>
          </cell>
          <cell r="H1060" t="str">
            <v xml:space="preserve">pç    </v>
          </cell>
          <cell r="I1060">
            <v>1</v>
          </cell>
          <cell r="J1060">
            <v>18.8</v>
          </cell>
          <cell r="K1060">
            <v>15.77</v>
          </cell>
          <cell r="L1060">
            <v>18.8</v>
          </cell>
        </row>
        <row r="1061">
          <cell r="D1061" t="str">
            <v xml:space="preserve">  E. 49.            </v>
          </cell>
          <cell r="E1061" t="str">
            <v>CP4515</v>
          </cell>
          <cell r="F1061" t="str">
            <v>8.1.2.</v>
          </cell>
          <cell r="G1061" t="str">
            <v xml:space="preserve">Conexões em polipropileno, pressão nominal de 10 kg/cm², TUBELLI ou similar Cap soldável DN 32  </v>
          </cell>
          <cell r="H1061" t="str">
            <v xml:space="preserve">pç    </v>
          </cell>
          <cell r="I1061">
            <v>1</v>
          </cell>
          <cell r="J1061">
            <v>3.21</v>
          </cell>
          <cell r="K1061">
            <v>4.59</v>
          </cell>
          <cell r="L1061">
            <v>3.21</v>
          </cell>
        </row>
        <row r="1062">
          <cell r="D1062" t="str">
            <v xml:space="preserve">  E. 50.            </v>
          </cell>
          <cell r="E1062" t="str">
            <v>CP1866</v>
          </cell>
          <cell r="F1062" t="str">
            <v>8.1.3.</v>
          </cell>
          <cell r="G1062" t="str">
            <v xml:space="preserve">Conexões em polipropileno, pressão nominal de 10 kg/cm², TUBELLI ou similar Joelho 90° soldável DN 85  </v>
          </cell>
          <cell r="H1062" t="str">
            <v xml:space="preserve">pç    </v>
          </cell>
          <cell r="I1062">
            <v>2</v>
          </cell>
          <cell r="J1062">
            <v>20.75</v>
          </cell>
          <cell r="K1062">
            <v>17.350000000000001</v>
          </cell>
          <cell r="L1062">
            <v>41.5</v>
          </cell>
        </row>
        <row r="1063">
          <cell r="D1063" t="str">
            <v xml:space="preserve">  E. 51.            </v>
          </cell>
          <cell r="E1063" t="str">
            <v>CP0720</v>
          </cell>
          <cell r="F1063" t="str">
            <v>8.1.4.</v>
          </cell>
          <cell r="G1063" t="str">
            <v xml:space="preserve">Conexões em polipropileno, pressão nominal de 10 kg/cm², TUBELLI ou similar Joelho 90° soldável DN 32  </v>
          </cell>
          <cell r="H1063" t="str">
            <v xml:space="preserve">pç    </v>
          </cell>
          <cell r="I1063">
            <v>2</v>
          </cell>
          <cell r="J1063">
            <v>3.53</v>
          </cell>
          <cell r="K1063">
            <v>4.4800000000000004</v>
          </cell>
          <cell r="L1063">
            <v>7.06</v>
          </cell>
        </row>
        <row r="1064">
          <cell r="D1064" t="str">
            <v xml:space="preserve">  E. 52.            </v>
          </cell>
          <cell r="E1064" t="str">
            <v xml:space="preserve">      </v>
          </cell>
          <cell r="F1064" t="str">
            <v>8.2.</v>
          </cell>
          <cell r="G1064" t="str">
            <v xml:space="preserve">Tubo em PVC rígido TIGRE ou similar:  </v>
          </cell>
          <cell r="H1064" t="str">
            <v xml:space="preserve">      </v>
          </cell>
          <cell r="I1064">
            <v>0</v>
          </cell>
          <cell r="J1064">
            <v>0</v>
          </cell>
          <cell r="K1064">
            <v>0</v>
          </cell>
          <cell r="L1064">
            <v>0</v>
          </cell>
        </row>
        <row r="1065">
          <cell r="D1065" t="str">
            <v xml:space="preserve">  E. 53.            </v>
          </cell>
          <cell r="E1065" t="str">
            <v>CP2080</v>
          </cell>
          <cell r="F1065" t="str">
            <v>8.2.1.</v>
          </cell>
          <cell r="G1065" t="str">
            <v xml:space="preserve">Tubo em PVC rígido TIGRE ou similar: Tubo tipo dreno DN 100  </v>
          </cell>
          <cell r="H1065" t="str">
            <v xml:space="preserve">m     </v>
          </cell>
          <cell r="I1065">
            <v>72</v>
          </cell>
          <cell r="J1065">
            <v>11.68</v>
          </cell>
          <cell r="K1065">
            <v>9.77</v>
          </cell>
          <cell r="L1065">
            <v>840.96</v>
          </cell>
        </row>
        <row r="1066">
          <cell r="D1066" t="str">
            <v xml:space="preserve">  E. 54.            </v>
          </cell>
          <cell r="E1066" t="str">
            <v xml:space="preserve">      </v>
          </cell>
          <cell r="F1066" t="str">
            <v>8.3.</v>
          </cell>
          <cell r="G1066" t="str">
            <v xml:space="preserve">Conexões em PVC rígido TIGRE ou similar  </v>
          </cell>
          <cell r="H1066" t="str">
            <v xml:space="preserve">      </v>
          </cell>
          <cell r="I1066">
            <v>0</v>
          </cell>
          <cell r="J1066">
            <v>0</v>
          </cell>
          <cell r="K1066">
            <v>0</v>
          </cell>
          <cell r="L1066">
            <v>0</v>
          </cell>
        </row>
        <row r="1067">
          <cell r="D1067" t="str">
            <v xml:space="preserve">  E. 55.            </v>
          </cell>
          <cell r="E1067" t="str">
            <v xml:space="preserve">      </v>
          </cell>
          <cell r="F1067" t="str">
            <v>8.3.1.</v>
          </cell>
          <cell r="G1067" t="str">
            <v xml:space="preserve">Conexões em PVC rígido TIGRE ou similar Joelho 90° soldável  </v>
          </cell>
          <cell r="H1067" t="str">
            <v xml:space="preserve">      </v>
          </cell>
          <cell r="I1067">
            <v>0</v>
          </cell>
          <cell r="J1067">
            <v>0</v>
          </cell>
          <cell r="K1067">
            <v>0</v>
          </cell>
          <cell r="L1067">
            <v>0</v>
          </cell>
        </row>
        <row r="1068">
          <cell r="D1068" t="str">
            <v xml:space="preserve">  E. 56.            </v>
          </cell>
          <cell r="E1068" t="str">
            <v>CP0693</v>
          </cell>
          <cell r="F1068" t="str">
            <v>8.3.1.1.</v>
          </cell>
          <cell r="G1068" t="str">
            <v xml:space="preserve">Conexões em PVC rígido TIGRE ou similar Joelho 90° soldável D 60  </v>
          </cell>
          <cell r="H1068" t="str">
            <v xml:space="preserve">pç    </v>
          </cell>
          <cell r="I1068">
            <v>3</v>
          </cell>
          <cell r="J1068">
            <v>10.64</v>
          </cell>
          <cell r="K1068">
            <v>8.89</v>
          </cell>
          <cell r="L1068">
            <v>31.92</v>
          </cell>
        </row>
        <row r="1069">
          <cell r="D1069" t="str">
            <v xml:space="preserve">  E. 57.            </v>
          </cell>
          <cell r="E1069" t="str">
            <v xml:space="preserve">      </v>
          </cell>
          <cell r="F1069" t="str">
            <v>9.</v>
          </cell>
          <cell r="G1069" t="str">
            <v xml:space="preserve">Assentamento de Materiais para Instalações de Processo  </v>
          </cell>
          <cell r="H1069" t="str">
            <v xml:space="preserve">      </v>
          </cell>
          <cell r="I1069">
            <v>0</v>
          </cell>
          <cell r="J1069">
            <v>0</v>
          </cell>
          <cell r="K1069">
            <v>0</v>
          </cell>
          <cell r="L1069">
            <v>0</v>
          </cell>
        </row>
        <row r="1070">
          <cell r="D1070" t="str">
            <v xml:space="preserve">  E. 58.            </v>
          </cell>
          <cell r="E1070" t="str">
            <v xml:space="preserve">      </v>
          </cell>
          <cell r="F1070" t="str">
            <v>9.1.</v>
          </cell>
          <cell r="G1070" t="str">
            <v xml:space="preserve">Tubos e conexões em PVC rígido TIGRE ou similar  </v>
          </cell>
          <cell r="H1070" t="str">
            <v xml:space="preserve">      </v>
          </cell>
          <cell r="I1070">
            <v>0</v>
          </cell>
          <cell r="J1070">
            <v>0</v>
          </cell>
          <cell r="K1070">
            <v>0</v>
          </cell>
          <cell r="L1070">
            <v>0</v>
          </cell>
        </row>
        <row r="1071">
          <cell r="D1071" t="str">
            <v xml:space="preserve">  E. 59.            </v>
          </cell>
          <cell r="E1071" t="str">
            <v>CP0154</v>
          </cell>
          <cell r="F1071" t="str">
            <v>9.1.1.</v>
          </cell>
          <cell r="G1071" t="str">
            <v xml:space="preserve">Tubos e conexões em PVC rígido TIGRE ou similar Tubo tipo dreno DN 100  </v>
          </cell>
          <cell r="H1071" t="str">
            <v xml:space="preserve">m     </v>
          </cell>
          <cell r="I1071">
            <v>72</v>
          </cell>
          <cell r="J1071">
            <v>1.23</v>
          </cell>
          <cell r="K1071">
            <v>1.03</v>
          </cell>
          <cell r="L1071">
            <v>88.56</v>
          </cell>
        </row>
        <row r="1072">
          <cell r="D1072" t="str">
            <v xml:space="preserve">  E. 60.            </v>
          </cell>
          <cell r="E1072" t="str">
            <v xml:space="preserve">      </v>
          </cell>
          <cell r="F1072" t="str">
            <v>10.</v>
          </cell>
          <cell r="G1072" t="str">
            <v xml:space="preserve">Impermeabilização  </v>
          </cell>
          <cell r="H1072" t="str">
            <v xml:space="preserve">      </v>
          </cell>
          <cell r="I1072">
            <v>0</v>
          </cell>
          <cell r="J1072">
            <v>0</v>
          </cell>
          <cell r="K1072">
            <v>0</v>
          </cell>
          <cell r="L1072">
            <v>0</v>
          </cell>
        </row>
        <row r="1073">
          <cell r="D1073" t="str">
            <v xml:space="preserve">  E. 61.            </v>
          </cell>
          <cell r="E1073" t="str">
            <v>CP0003</v>
          </cell>
          <cell r="F1073" t="str">
            <v>10.1.</v>
          </cell>
          <cell r="G1073" t="str">
            <v xml:space="preserve">Impermeabilização de paredes e lajes com argamassa de cimento, areia e latex estireno-butadieno, e aplicação de Impermaster N  </v>
          </cell>
          <cell r="H1073" t="str">
            <v xml:space="preserve">m²    </v>
          </cell>
          <cell r="I1073">
            <v>2300</v>
          </cell>
          <cell r="J1073">
            <v>68.260000000000005</v>
          </cell>
          <cell r="K1073">
            <v>57.3</v>
          </cell>
          <cell r="L1073">
            <v>156998</v>
          </cell>
        </row>
        <row r="1074">
          <cell r="D1074" t="str">
            <v xml:space="preserve">  F.  1.            </v>
          </cell>
          <cell r="E1074" t="str">
            <v xml:space="preserve">      </v>
          </cell>
          <cell r="F1074" t="str">
            <v>0.VI.</v>
          </cell>
          <cell r="G1074" t="str">
            <v xml:space="preserve">FILTROS E GALERIA  </v>
          </cell>
          <cell r="H1074" t="str">
            <v xml:space="preserve">      </v>
          </cell>
          <cell r="I1074">
            <v>0</v>
          </cell>
          <cell r="J1074">
            <v>0</v>
          </cell>
          <cell r="K1074">
            <v>0</v>
          </cell>
          <cell r="L1074">
            <v>0</v>
          </cell>
        </row>
        <row r="1075">
          <cell r="D1075" t="str">
            <v xml:space="preserve">  F.  2.            </v>
          </cell>
          <cell r="E1075" t="str">
            <v xml:space="preserve">      </v>
          </cell>
          <cell r="F1075" t="str">
            <v>1.</v>
          </cell>
          <cell r="G1075" t="str">
            <v xml:space="preserve">Serviços Preliminares  </v>
          </cell>
          <cell r="H1075" t="str">
            <v xml:space="preserve">      </v>
          </cell>
          <cell r="I1075">
            <v>0</v>
          </cell>
          <cell r="J1075">
            <v>0</v>
          </cell>
          <cell r="K1075">
            <v>0</v>
          </cell>
          <cell r="L1075">
            <v>0</v>
          </cell>
        </row>
        <row r="1076">
          <cell r="D1076" t="str">
            <v xml:space="preserve">  F.  3.            </v>
          </cell>
          <cell r="E1076" t="str">
            <v>CP1163</v>
          </cell>
          <cell r="F1076" t="str">
            <v>1.1.</v>
          </cell>
          <cell r="G1076" t="str">
            <v xml:space="preserve">Locação de obra de edificação com execução de gabarito  </v>
          </cell>
          <cell r="H1076" t="str">
            <v xml:space="preserve">m2    </v>
          </cell>
          <cell r="I1076">
            <v>65</v>
          </cell>
          <cell r="J1076">
            <v>4.3099999999999996</v>
          </cell>
          <cell r="K1076">
            <v>3.61</v>
          </cell>
          <cell r="L1076">
            <v>280.14999999999998</v>
          </cell>
        </row>
        <row r="1077">
          <cell r="D1077" t="str">
            <v xml:space="preserve">  F.  4.            </v>
          </cell>
          <cell r="E1077" t="str">
            <v>CP1152</v>
          </cell>
          <cell r="F1077" t="str">
            <v>1.2.</v>
          </cell>
          <cell r="G1077" t="str">
            <v xml:space="preserve">Limpeza mecânica do terreno  </v>
          </cell>
          <cell r="H1077" t="str">
            <v xml:space="preserve">m2    </v>
          </cell>
          <cell r="I1077">
            <v>65</v>
          </cell>
          <cell r="J1077">
            <v>0.55000000000000004</v>
          </cell>
          <cell r="K1077">
            <v>0.46</v>
          </cell>
          <cell r="L1077">
            <v>35.75</v>
          </cell>
        </row>
        <row r="1078">
          <cell r="D1078" t="str">
            <v xml:space="preserve">  F.  5.            </v>
          </cell>
          <cell r="E1078" t="str">
            <v xml:space="preserve">      </v>
          </cell>
          <cell r="F1078" t="str">
            <v>2.</v>
          </cell>
          <cell r="G1078" t="str">
            <v xml:space="preserve">Fornecimento de Equipamentos Hidráulicos, Mecânicos e Eletromecânicos, conforme Especificações Técnicas, relativas a cada Equipamento  </v>
          </cell>
          <cell r="H1078" t="str">
            <v xml:space="preserve">      </v>
          </cell>
          <cell r="I1078">
            <v>0</v>
          </cell>
          <cell r="J1078">
            <v>0</v>
          </cell>
          <cell r="K1078">
            <v>0</v>
          </cell>
          <cell r="L1078">
            <v>0</v>
          </cell>
        </row>
        <row r="1079">
          <cell r="D1079" t="str">
            <v xml:space="preserve">  F.  6.            </v>
          </cell>
          <cell r="E1079" t="str">
            <v>CP1183</v>
          </cell>
          <cell r="F1079" t="str">
            <v>2.1.</v>
          </cell>
          <cell r="G1079" t="str">
            <v xml:space="preserve">Moto-bomba de lavagem dos filtros  </v>
          </cell>
          <cell r="H1079" t="str">
            <v xml:space="preserve">un    </v>
          </cell>
          <cell r="I1079">
            <v>2</v>
          </cell>
          <cell r="J1079">
            <v>499285.54</v>
          </cell>
          <cell r="K1079">
            <v>454297.07</v>
          </cell>
          <cell r="L1079">
            <v>998571.08</v>
          </cell>
        </row>
        <row r="1080">
          <cell r="D1080" t="str">
            <v xml:space="preserve">  F.  7.            </v>
          </cell>
          <cell r="E1080" t="str">
            <v>CP0620</v>
          </cell>
          <cell r="F1080" t="str">
            <v>2.2.</v>
          </cell>
          <cell r="G1080" t="str">
            <v xml:space="preserve">Regulador de vazão e nível tipo sifão  </v>
          </cell>
          <cell r="H1080" t="str">
            <v xml:space="preserve">un    </v>
          </cell>
          <cell r="I1080">
            <v>24</v>
          </cell>
          <cell r="J1080">
            <v>18220.89</v>
          </cell>
          <cell r="K1080">
            <v>15302.76</v>
          </cell>
          <cell r="L1080">
            <v>437301.36</v>
          </cell>
        </row>
        <row r="1081">
          <cell r="D1081" t="str">
            <v xml:space="preserve">  F.  8.            </v>
          </cell>
          <cell r="E1081" t="str">
            <v>CP1416</v>
          </cell>
          <cell r="F1081" t="str">
            <v>2.3.</v>
          </cell>
          <cell r="G1081" t="str">
            <v xml:space="preserve">Canaleta em fibra de vidro para distribuição de água flotada nos filtros ( ver RT 43-SET-52 )  </v>
          </cell>
          <cell r="H1081" t="str">
            <v xml:space="preserve">un    </v>
          </cell>
          <cell r="I1081">
            <v>24</v>
          </cell>
          <cell r="J1081">
            <v>15276.67</v>
          </cell>
          <cell r="K1081">
            <v>21823.81</v>
          </cell>
          <cell r="L1081">
            <v>366640.08</v>
          </cell>
        </row>
        <row r="1082">
          <cell r="D1082" t="str">
            <v xml:space="preserve">  F.  9.            </v>
          </cell>
          <cell r="E1082" t="str">
            <v>CP1184</v>
          </cell>
          <cell r="F1082" t="str">
            <v>2.4.</v>
          </cell>
          <cell r="G1082" t="str">
            <v xml:space="preserve">Ponte Rolante para filtros  </v>
          </cell>
          <cell r="H1082" t="str">
            <v xml:space="preserve">un    </v>
          </cell>
          <cell r="I1082">
            <v>1</v>
          </cell>
          <cell r="J1082">
            <v>614741.52</v>
          </cell>
          <cell r="K1082">
            <v>512327.29</v>
          </cell>
          <cell r="L1082">
            <v>614741.52</v>
          </cell>
        </row>
        <row r="1083">
          <cell r="D1083" t="str">
            <v xml:space="preserve">  F. 10.            </v>
          </cell>
          <cell r="E1083" t="str">
            <v xml:space="preserve">      </v>
          </cell>
          <cell r="F1083" t="str">
            <v>3.</v>
          </cell>
          <cell r="G1083" t="str">
            <v xml:space="preserve">Montagem de Equipamentos Hidráulicos, Mecânicos e Eletromecânicos, conforme Especificações Técnicas, Relativas a cada Equipamento  </v>
          </cell>
          <cell r="H1083" t="str">
            <v xml:space="preserve">      </v>
          </cell>
          <cell r="I1083">
            <v>0</v>
          </cell>
          <cell r="J1083">
            <v>0</v>
          </cell>
          <cell r="K1083">
            <v>0</v>
          </cell>
          <cell r="L1083">
            <v>0</v>
          </cell>
        </row>
        <row r="1084">
          <cell r="D1084" t="str">
            <v xml:space="preserve">  F. 11.            </v>
          </cell>
          <cell r="E1084" t="str">
            <v>CP0463</v>
          </cell>
          <cell r="F1084" t="str">
            <v>3.1.</v>
          </cell>
          <cell r="G1084" t="str">
            <v xml:space="preserve">Moto-bomba de lavagem dos filtros  </v>
          </cell>
          <cell r="H1084" t="str">
            <v xml:space="preserve">un    </v>
          </cell>
          <cell r="I1084">
            <v>2</v>
          </cell>
          <cell r="J1084">
            <v>4508.29</v>
          </cell>
          <cell r="K1084">
            <v>3770.22</v>
          </cell>
          <cell r="L1084">
            <v>9016.58</v>
          </cell>
        </row>
        <row r="1085">
          <cell r="D1085" t="str">
            <v xml:space="preserve">  F. 12.            </v>
          </cell>
          <cell r="E1085" t="str">
            <v>CP0332</v>
          </cell>
          <cell r="F1085" t="str">
            <v>3.2.</v>
          </cell>
          <cell r="G1085" t="str">
            <v xml:space="preserve">Regulador de vazão e nível tipo sifão, inclusive treinamento dos técnicos da CAESB  </v>
          </cell>
          <cell r="H1085" t="str">
            <v xml:space="preserve">un    </v>
          </cell>
          <cell r="I1085">
            <v>24</v>
          </cell>
          <cell r="J1085">
            <v>1694.7</v>
          </cell>
          <cell r="K1085">
            <v>1418.79</v>
          </cell>
          <cell r="L1085">
            <v>40672.800000000003</v>
          </cell>
        </row>
        <row r="1086">
          <cell r="D1086" t="str">
            <v xml:space="preserve">  F. 13.            </v>
          </cell>
          <cell r="E1086" t="str">
            <v>CP0203</v>
          </cell>
          <cell r="F1086" t="str">
            <v>3.3.</v>
          </cell>
          <cell r="G1086" t="str">
            <v xml:space="preserve">Canaleta em fibra de vidro para distribuição de água flotada nos filtros  </v>
          </cell>
          <cell r="H1086" t="str">
            <v xml:space="preserve">un    </v>
          </cell>
          <cell r="I1086">
            <v>24</v>
          </cell>
          <cell r="J1086">
            <v>116.15</v>
          </cell>
          <cell r="K1086">
            <v>97.19</v>
          </cell>
          <cell r="L1086">
            <v>2787.6</v>
          </cell>
        </row>
        <row r="1087">
          <cell r="D1087" t="str">
            <v xml:space="preserve">  F. 14.            </v>
          </cell>
          <cell r="E1087" t="str">
            <v>CP0619</v>
          </cell>
          <cell r="F1087" t="str">
            <v>3.4.</v>
          </cell>
          <cell r="G1087" t="str">
            <v xml:space="preserve">Ponte Rolante  </v>
          </cell>
          <cell r="H1087" t="str">
            <v xml:space="preserve">un    </v>
          </cell>
          <cell r="I1087">
            <v>1</v>
          </cell>
          <cell r="J1087">
            <v>8889.64</v>
          </cell>
          <cell r="K1087">
            <v>7460.22</v>
          </cell>
          <cell r="L1087">
            <v>8889.64</v>
          </cell>
        </row>
        <row r="1088">
          <cell r="D1088" t="str">
            <v xml:space="preserve">  F. 15.            </v>
          </cell>
          <cell r="E1088" t="str">
            <v xml:space="preserve">      </v>
          </cell>
          <cell r="F1088" t="str">
            <v>4.</v>
          </cell>
          <cell r="G1088" t="str">
            <v xml:space="preserve">Obras Diversas (Reforma da Galeria de Comando dos filtros)  </v>
          </cell>
          <cell r="H1088" t="str">
            <v xml:space="preserve">      </v>
          </cell>
          <cell r="I1088">
            <v>0</v>
          </cell>
          <cell r="J1088">
            <v>0</v>
          </cell>
          <cell r="K1088">
            <v>0</v>
          </cell>
          <cell r="L1088">
            <v>0</v>
          </cell>
        </row>
        <row r="1089">
          <cell r="D1089" t="str">
            <v xml:space="preserve">  F. 16.            </v>
          </cell>
          <cell r="E1089" t="str">
            <v>CP1150</v>
          </cell>
          <cell r="F1089" t="str">
            <v>4.1.</v>
          </cell>
          <cell r="G1089" t="str">
            <v xml:space="preserve">Demolição de alvenaria sem reaproveitamento  </v>
          </cell>
          <cell r="H1089" t="str">
            <v xml:space="preserve">m3    </v>
          </cell>
          <cell r="I1089">
            <v>2</v>
          </cell>
          <cell r="J1089">
            <v>27.97</v>
          </cell>
          <cell r="K1089">
            <v>23.39</v>
          </cell>
          <cell r="L1089">
            <v>55.94</v>
          </cell>
        </row>
        <row r="1090">
          <cell r="D1090" t="str">
            <v xml:space="preserve">  F. 17.            </v>
          </cell>
          <cell r="E1090" t="str">
            <v xml:space="preserve">      </v>
          </cell>
          <cell r="F1090" t="str">
            <v>4.2.</v>
          </cell>
          <cell r="G1090" t="str">
            <v xml:space="preserve">Remoção de material demolido no canteiro da obra  </v>
          </cell>
          <cell r="H1090" t="str">
            <v xml:space="preserve">      </v>
          </cell>
          <cell r="I1090">
            <v>0</v>
          </cell>
          <cell r="J1090">
            <v>0</v>
          </cell>
          <cell r="K1090">
            <v>0</v>
          </cell>
          <cell r="L1090">
            <v>0</v>
          </cell>
        </row>
        <row r="1091">
          <cell r="D1091" t="str">
            <v xml:space="preserve">  F. 18.            </v>
          </cell>
          <cell r="E1091" t="str">
            <v>CP0978</v>
          </cell>
          <cell r="F1091" t="str">
            <v>4.2.1.</v>
          </cell>
          <cell r="G1091" t="str">
            <v xml:space="preserve">Transporte manual horizontal de argamassa até 30 m de distância  </v>
          </cell>
          <cell r="H1091" t="str">
            <v xml:space="preserve">m3    </v>
          </cell>
          <cell r="I1091">
            <v>2</v>
          </cell>
          <cell r="J1091">
            <v>17.420000000000002</v>
          </cell>
          <cell r="K1091">
            <v>20.71</v>
          </cell>
          <cell r="L1091">
            <v>34.840000000000003</v>
          </cell>
        </row>
        <row r="1092">
          <cell r="D1092" t="str">
            <v xml:space="preserve">  F. 19.            </v>
          </cell>
          <cell r="E1092" t="str">
            <v>CP0205</v>
          </cell>
          <cell r="F1092" t="str">
            <v>4.3.</v>
          </cell>
          <cell r="G1092" t="str">
            <v xml:space="preserve">Chapisco comum  </v>
          </cell>
          <cell r="H1092" t="str">
            <v xml:space="preserve">m2    </v>
          </cell>
          <cell r="I1092">
            <v>7</v>
          </cell>
          <cell r="J1092">
            <v>3.1</v>
          </cell>
          <cell r="K1092">
            <v>3.72</v>
          </cell>
          <cell r="L1092">
            <v>21.7</v>
          </cell>
        </row>
        <row r="1093">
          <cell r="D1093" t="str">
            <v xml:space="preserve">  F. 20.            </v>
          </cell>
          <cell r="E1093" t="str">
            <v>CP0968</v>
          </cell>
          <cell r="F1093" t="str">
            <v>4.4.</v>
          </cell>
          <cell r="G1093" t="str">
            <v xml:space="preserve">Emboço com argamassa de cimento e saibro traço 1:6  </v>
          </cell>
          <cell r="H1093" t="str">
            <v xml:space="preserve">m2    </v>
          </cell>
          <cell r="I1093">
            <v>7</v>
          </cell>
          <cell r="J1093">
            <v>11.33</v>
          </cell>
          <cell r="K1093">
            <v>16.16</v>
          </cell>
          <cell r="L1093">
            <v>79.31</v>
          </cell>
        </row>
        <row r="1094">
          <cell r="D1094" t="str">
            <v xml:space="preserve">  F. 21.            </v>
          </cell>
          <cell r="E1094" t="str">
            <v>CP0962</v>
          </cell>
          <cell r="F1094" t="str">
            <v>4.5.</v>
          </cell>
          <cell r="G1094" t="str">
            <v xml:space="preserve">Reboco paulista  </v>
          </cell>
          <cell r="H1094" t="str">
            <v xml:space="preserve">m2    </v>
          </cell>
          <cell r="I1094">
            <v>7</v>
          </cell>
          <cell r="J1094">
            <v>14.51</v>
          </cell>
          <cell r="K1094">
            <v>24.95</v>
          </cell>
          <cell r="L1094">
            <v>101.57</v>
          </cell>
        </row>
        <row r="1095">
          <cell r="D1095" t="str">
            <v xml:space="preserve">  F. 22.            </v>
          </cell>
          <cell r="E1095" t="str">
            <v>CP0142</v>
          </cell>
          <cell r="F1095" t="str">
            <v>4.6.</v>
          </cell>
          <cell r="G1095" t="str">
            <v xml:space="preserve">Emassamento  </v>
          </cell>
          <cell r="H1095" t="str">
            <v xml:space="preserve">m2    </v>
          </cell>
          <cell r="I1095">
            <v>7</v>
          </cell>
          <cell r="J1095">
            <v>9.4700000000000006</v>
          </cell>
          <cell r="K1095">
            <v>7.92</v>
          </cell>
          <cell r="L1095">
            <v>66.290000000000006</v>
          </cell>
        </row>
        <row r="1096">
          <cell r="D1096" t="str">
            <v xml:space="preserve">  F. 23.            </v>
          </cell>
          <cell r="E1096" t="str">
            <v>CP0342</v>
          </cell>
          <cell r="F1096" t="str">
            <v>4.7.</v>
          </cell>
          <cell r="G1096" t="str">
            <v xml:space="preserve">Remoção de pintura em paredes e teto (lixamento)  </v>
          </cell>
          <cell r="H1096" t="str">
            <v xml:space="preserve">m2    </v>
          </cell>
          <cell r="I1096">
            <v>666</v>
          </cell>
          <cell r="J1096">
            <v>6.12</v>
          </cell>
          <cell r="K1096">
            <v>5.25</v>
          </cell>
          <cell r="L1096">
            <v>4075.92</v>
          </cell>
        </row>
        <row r="1097">
          <cell r="D1097" t="str">
            <v xml:space="preserve">  F. 24.            </v>
          </cell>
          <cell r="E1097" t="str">
            <v xml:space="preserve">      </v>
          </cell>
          <cell r="F1097" t="str">
            <v>4.8.</v>
          </cell>
          <cell r="G1097" t="str">
            <v xml:space="preserve">Pintura sem massa corrida:  </v>
          </cell>
          <cell r="H1097" t="str">
            <v xml:space="preserve">      </v>
          </cell>
          <cell r="I1097">
            <v>0</v>
          </cell>
          <cell r="J1097">
            <v>0</v>
          </cell>
          <cell r="K1097">
            <v>0</v>
          </cell>
          <cell r="L1097">
            <v>0</v>
          </cell>
        </row>
        <row r="1098">
          <cell r="D1098" t="str">
            <v xml:space="preserve">  F. 25.            </v>
          </cell>
          <cell r="E1098" t="str">
            <v>CP0955</v>
          </cell>
          <cell r="F1098" t="str">
            <v>4.8.1.</v>
          </cell>
          <cell r="G1098" t="str">
            <v xml:space="preserve">Pintura látex acrílico, sem massa corrida, em duas demãos  </v>
          </cell>
          <cell r="H1098" t="str">
            <v xml:space="preserve">m2    </v>
          </cell>
          <cell r="I1098">
            <v>179</v>
          </cell>
          <cell r="J1098">
            <v>13.26</v>
          </cell>
          <cell r="K1098">
            <v>18.940000000000001</v>
          </cell>
          <cell r="L1098">
            <v>2373.54</v>
          </cell>
        </row>
        <row r="1099">
          <cell r="D1099" t="str">
            <v xml:space="preserve">  F. 26.            </v>
          </cell>
          <cell r="E1099" t="str">
            <v>CP0227</v>
          </cell>
          <cell r="F1099" t="str">
            <v>4.8.2.</v>
          </cell>
          <cell r="G1099" t="str">
            <v xml:space="preserve">Revestimento Acril-color LT / liso da FACE-COLOR, ou similar, ref. de tonalidade: 1226P da CORAL ou similar  </v>
          </cell>
          <cell r="H1099" t="str">
            <v xml:space="preserve">m2    </v>
          </cell>
          <cell r="I1099">
            <v>33</v>
          </cell>
          <cell r="J1099">
            <v>9.35</v>
          </cell>
          <cell r="K1099">
            <v>15.34</v>
          </cell>
          <cell r="L1099">
            <v>308.55</v>
          </cell>
        </row>
        <row r="1100">
          <cell r="D1100" t="str">
            <v xml:space="preserve">  F. 27.            </v>
          </cell>
          <cell r="E1100" t="str">
            <v>CP0221</v>
          </cell>
          <cell r="F1100" t="str">
            <v>4.8.3.</v>
          </cell>
          <cell r="G1100" t="str">
            <v xml:space="preserve">Revestimento Acril-color LT / liso da FACE-COLOR, ou similar, ref. de tonalidade: 1232 M da CORAL, ou similar  </v>
          </cell>
          <cell r="H1100" t="str">
            <v xml:space="preserve">m2    </v>
          </cell>
          <cell r="I1100">
            <v>454</v>
          </cell>
          <cell r="J1100">
            <v>10.74</v>
          </cell>
          <cell r="K1100">
            <v>15.34</v>
          </cell>
          <cell r="L1100">
            <v>4875.96</v>
          </cell>
        </row>
        <row r="1101">
          <cell r="D1101" t="str">
            <v xml:space="preserve">  F. 28.            </v>
          </cell>
          <cell r="E1101" t="str">
            <v xml:space="preserve">      </v>
          </cell>
          <cell r="F1101" t="str">
            <v>4.9.</v>
          </cell>
          <cell r="G1101" t="str">
            <v xml:space="preserve">Revestimentos cerâmicos (pisos)  </v>
          </cell>
          <cell r="H1101" t="str">
            <v xml:space="preserve">      </v>
          </cell>
          <cell r="I1101">
            <v>0</v>
          </cell>
          <cell r="J1101">
            <v>0</v>
          </cell>
          <cell r="K1101">
            <v>0</v>
          </cell>
          <cell r="L1101">
            <v>0</v>
          </cell>
        </row>
        <row r="1102">
          <cell r="D1102" t="str">
            <v xml:space="preserve">  F. 29.            </v>
          </cell>
          <cell r="E1102" t="str">
            <v>CP0333</v>
          </cell>
          <cell r="F1102" t="str">
            <v>4.9.1.</v>
          </cell>
          <cell r="G1102" t="str">
            <v xml:space="preserve">Cerâmica lazer cinza 50 x 50 da PORTOBELLO ou similar  </v>
          </cell>
          <cell r="H1102" t="str">
            <v xml:space="preserve">m2    </v>
          </cell>
          <cell r="I1102">
            <v>418</v>
          </cell>
          <cell r="J1102">
            <v>55.7</v>
          </cell>
          <cell r="K1102">
            <v>77.14</v>
          </cell>
          <cell r="L1102">
            <v>23282.6</v>
          </cell>
        </row>
        <row r="1103">
          <cell r="D1103" t="str">
            <v xml:space="preserve">  F. 30.            </v>
          </cell>
          <cell r="E1103" t="str">
            <v xml:space="preserve">      </v>
          </cell>
          <cell r="F1103" t="str">
            <v>4.10.</v>
          </cell>
          <cell r="G1103" t="str">
            <v xml:space="preserve">Teto  </v>
          </cell>
          <cell r="H1103" t="str">
            <v xml:space="preserve">      </v>
          </cell>
          <cell r="I1103">
            <v>0</v>
          </cell>
          <cell r="J1103">
            <v>0</v>
          </cell>
          <cell r="K1103">
            <v>0</v>
          </cell>
          <cell r="L1103">
            <v>0</v>
          </cell>
        </row>
        <row r="1104">
          <cell r="D1104" t="str">
            <v xml:space="preserve">  F. 31.            </v>
          </cell>
          <cell r="E1104" t="str">
            <v>CP0310</v>
          </cell>
          <cell r="F1104" t="str">
            <v>4.10.1.</v>
          </cell>
          <cell r="G1104" t="str">
            <v xml:space="preserve">Forro de PVC  </v>
          </cell>
          <cell r="H1104" t="str">
            <v xml:space="preserve">m2    </v>
          </cell>
          <cell r="I1104">
            <v>386</v>
          </cell>
          <cell r="J1104">
            <v>41.47</v>
          </cell>
          <cell r="K1104">
            <v>34.79</v>
          </cell>
          <cell r="L1104">
            <v>16007.42</v>
          </cell>
        </row>
        <row r="1105">
          <cell r="D1105" t="str">
            <v xml:space="preserve">  F. 32.            </v>
          </cell>
          <cell r="E1105" t="str">
            <v xml:space="preserve">      </v>
          </cell>
          <cell r="F1105" t="str">
            <v>4.11.</v>
          </cell>
          <cell r="G1105" t="str">
            <v xml:space="preserve">Esquadrias  </v>
          </cell>
          <cell r="H1105" t="str">
            <v xml:space="preserve">      </v>
          </cell>
          <cell r="I1105">
            <v>0</v>
          </cell>
          <cell r="J1105">
            <v>0</v>
          </cell>
          <cell r="K1105">
            <v>0</v>
          </cell>
          <cell r="L1105">
            <v>0</v>
          </cell>
        </row>
        <row r="1106">
          <cell r="D1106" t="str">
            <v xml:space="preserve">  F. 33.            </v>
          </cell>
          <cell r="E1106" t="str">
            <v>CP0273</v>
          </cell>
          <cell r="F1106" t="str">
            <v>4.11.1.</v>
          </cell>
          <cell r="G1106" t="str">
            <v xml:space="preserve">Esquadria em alumínio anodizado preto, correr fixo/maxim-ar, inclusive acessórios conforme projeto  </v>
          </cell>
          <cell r="H1106" t="str">
            <v xml:space="preserve">m2    </v>
          </cell>
          <cell r="I1106">
            <v>267</v>
          </cell>
          <cell r="J1106">
            <v>497.51</v>
          </cell>
          <cell r="K1106">
            <v>425.6</v>
          </cell>
          <cell r="L1106">
            <v>132835.17000000001</v>
          </cell>
        </row>
        <row r="1107">
          <cell r="D1107" t="str">
            <v xml:space="preserve">  F. 34.            </v>
          </cell>
          <cell r="E1107" t="str">
            <v xml:space="preserve">      </v>
          </cell>
          <cell r="F1107" t="str">
            <v>4.12.</v>
          </cell>
          <cell r="G1107" t="str">
            <v xml:space="preserve">Vidros  </v>
          </cell>
          <cell r="H1107" t="str">
            <v xml:space="preserve">      </v>
          </cell>
          <cell r="I1107">
            <v>0</v>
          </cell>
          <cell r="J1107">
            <v>0</v>
          </cell>
          <cell r="K1107">
            <v>0</v>
          </cell>
          <cell r="L1107">
            <v>0</v>
          </cell>
        </row>
        <row r="1108">
          <cell r="D1108" t="str">
            <v xml:space="preserve">  F. 35.            </v>
          </cell>
          <cell r="E1108" t="str">
            <v>CP0136</v>
          </cell>
          <cell r="F1108" t="str">
            <v>4.12.1.</v>
          </cell>
          <cell r="G1108" t="str">
            <v xml:space="preserve">Vidro Temperado fumê, espessura 4mm  </v>
          </cell>
          <cell r="H1108" t="str">
            <v xml:space="preserve">m2    </v>
          </cell>
          <cell r="I1108">
            <v>267</v>
          </cell>
          <cell r="J1108">
            <v>189.24</v>
          </cell>
          <cell r="K1108">
            <v>158.84</v>
          </cell>
          <cell r="L1108">
            <v>50527.08</v>
          </cell>
        </row>
        <row r="1109">
          <cell r="D1109" t="str">
            <v xml:space="preserve">  F. 36.            </v>
          </cell>
          <cell r="E1109" t="str">
            <v>CP0135</v>
          </cell>
          <cell r="F1109" t="str">
            <v>4.13.</v>
          </cell>
          <cell r="G1109" t="str">
            <v xml:space="preserve">Guarda-corpo para escada e balcão de visita, inclusive acessórios, conforme projeto  </v>
          </cell>
          <cell r="H1109" t="str">
            <v xml:space="preserve">m     </v>
          </cell>
          <cell r="I1109">
            <v>56</v>
          </cell>
          <cell r="J1109">
            <v>129.85</v>
          </cell>
          <cell r="K1109">
            <v>108.46</v>
          </cell>
          <cell r="L1109">
            <v>7271.6</v>
          </cell>
        </row>
        <row r="1110">
          <cell r="D1110" t="str">
            <v xml:space="preserve">  F. 37.            </v>
          </cell>
          <cell r="E1110" t="str">
            <v>CP0144</v>
          </cell>
          <cell r="F1110" t="str">
            <v>4.14.</v>
          </cell>
          <cell r="G1110" t="str">
            <v xml:space="preserve">Cobertura em policarbonato espessura 6mm, inclusive acessórios de fixação e estrutura de apoio  </v>
          </cell>
          <cell r="H1110" t="str">
            <v xml:space="preserve">m2    </v>
          </cell>
          <cell r="I1110">
            <v>40</v>
          </cell>
          <cell r="J1110">
            <v>312.2</v>
          </cell>
          <cell r="K1110">
            <v>511.5</v>
          </cell>
          <cell r="L1110">
            <v>12488</v>
          </cell>
        </row>
        <row r="1111">
          <cell r="D1111" t="str">
            <v xml:space="preserve">  F. 38.            </v>
          </cell>
          <cell r="E1111" t="str">
            <v>CP0133</v>
          </cell>
          <cell r="F1111" t="str">
            <v>4.15.</v>
          </cell>
          <cell r="G1111" t="str">
            <v xml:space="preserve">Calha em chapa galvanizada MSG 16 inclusive acessórios de fixação e pintura  </v>
          </cell>
          <cell r="H1111" t="str">
            <v xml:space="preserve">m     </v>
          </cell>
          <cell r="I1111">
            <v>140</v>
          </cell>
          <cell r="J1111">
            <v>106.29</v>
          </cell>
          <cell r="K1111">
            <v>233.63</v>
          </cell>
          <cell r="L1111">
            <v>14880.6</v>
          </cell>
        </row>
        <row r="1112">
          <cell r="D1112" t="str">
            <v xml:space="preserve">  F. 39.            </v>
          </cell>
          <cell r="E1112" t="str">
            <v>CP0276</v>
          </cell>
          <cell r="F1112" t="str">
            <v>4.16.</v>
          </cell>
          <cell r="G1112" t="str">
            <v xml:space="preserve">Rufo em chapa galvanizada, inclusive acessórios para fixação e pintura  </v>
          </cell>
          <cell r="H1112" t="str">
            <v xml:space="preserve">m     </v>
          </cell>
          <cell r="I1112">
            <v>7</v>
          </cell>
          <cell r="J1112">
            <v>36.020000000000003</v>
          </cell>
          <cell r="K1112">
            <v>51.45</v>
          </cell>
          <cell r="L1112">
            <v>252.14</v>
          </cell>
        </row>
        <row r="1113">
          <cell r="D1113" t="str">
            <v xml:space="preserve">  F. 40.            </v>
          </cell>
          <cell r="E1113" t="str">
            <v xml:space="preserve">      </v>
          </cell>
          <cell r="F1113" t="str">
            <v>4.17.</v>
          </cell>
          <cell r="G1113" t="str">
            <v xml:space="preserve">Limpeza da Obra  </v>
          </cell>
          <cell r="H1113" t="str">
            <v xml:space="preserve">      </v>
          </cell>
          <cell r="I1113">
            <v>0</v>
          </cell>
          <cell r="J1113">
            <v>0</v>
          </cell>
          <cell r="K1113">
            <v>0</v>
          </cell>
          <cell r="L1113">
            <v>0</v>
          </cell>
        </row>
        <row r="1114">
          <cell r="D1114" t="str">
            <v xml:space="preserve">  F. 41.            </v>
          </cell>
          <cell r="E1114" t="str">
            <v xml:space="preserve">      </v>
          </cell>
          <cell r="F1114" t="str">
            <v>4.17.1.</v>
          </cell>
          <cell r="G1114" t="str">
            <v xml:space="preserve">Remoção de entulho, inclusive bota-fora em local apropriado:  </v>
          </cell>
          <cell r="H1114" t="str">
            <v xml:space="preserve">      </v>
          </cell>
          <cell r="I1114">
            <v>0</v>
          </cell>
          <cell r="J1114">
            <v>0</v>
          </cell>
          <cell r="K1114">
            <v>0</v>
          </cell>
          <cell r="L1114">
            <v>0</v>
          </cell>
        </row>
        <row r="1115">
          <cell r="D1115" t="str">
            <v xml:space="preserve">  F. 42.            </v>
          </cell>
          <cell r="E1115" t="str">
            <v>CP1085</v>
          </cell>
          <cell r="F1115" t="str">
            <v>4.17.1.1.</v>
          </cell>
          <cell r="G1115" t="str">
            <v xml:space="preserve">Carga mecânica de material em geral, exceto rocha em caminhão basculante  </v>
          </cell>
          <cell r="H1115" t="str">
            <v xml:space="preserve">m3    </v>
          </cell>
          <cell r="I1115">
            <v>14</v>
          </cell>
          <cell r="J1115">
            <v>1.23</v>
          </cell>
          <cell r="K1115">
            <v>1.74</v>
          </cell>
          <cell r="L1115">
            <v>17.22</v>
          </cell>
        </row>
        <row r="1116">
          <cell r="D1116" t="str">
            <v xml:space="preserve">  F. 43.            </v>
          </cell>
          <cell r="E1116" t="str">
            <v>CP1070</v>
          </cell>
          <cell r="F1116" t="str">
            <v>4.17.1.2.</v>
          </cell>
          <cell r="G1116" t="str">
            <v xml:space="preserve">Transporte mecânico de material a granel em caminhão basculante  </v>
          </cell>
          <cell r="H1116" t="str">
            <v xml:space="preserve">m3xkm </v>
          </cell>
          <cell r="I1116">
            <v>126</v>
          </cell>
          <cell r="J1116">
            <v>2.38</v>
          </cell>
          <cell r="K1116">
            <v>2.35</v>
          </cell>
          <cell r="L1116">
            <v>299.88</v>
          </cell>
        </row>
        <row r="1117">
          <cell r="D1117" t="str">
            <v xml:space="preserve">  F. 44.            </v>
          </cell>
          <cell r="E1117" t="str">
            <v>CP0633</v>
          </cell>
          <cell r="F1117" t="str">
            <v>4.17.2.</v>
          </cell>
          <cell r="G1117" t="str">
            <v xml:space="preserve">Limpeza de vidros  </v>
          </cell>
          <cell r="H1117" t="str">
            <v xml:space="preserve">m2    </v>
          </cell>
          <cell r="I1117">
            <v>267</v>
          </cell>
          <cell r="J1117">
            <v>3.47</v>
          </cell>
          <cell r="K1117">
            <v>5.47</v>
          </cell>
          <cell r="L1117">
            <v>926.49</v>
          </cell>
        </row>
        <row r="1118">
          <cell r="D1118" t="str">
            <v xml:space="preserve">  F. 45.            </v>
          </cell>
          <cell r="E1118" t="str">
            <v>CP0640</v>
          </cell>
          <cell r="F1118" t="str">
            <v>4.17.3.</v>
          </cell>
          <cell r="G1118" t="str">
            <v xml:space="preserve">Limpeza de pisos e revestimentos  </v>
          </cell>
          <cell r="H1118" t="str">
            <v xml:space="preserve">m2    </v>
          </cell>
          <cell r="I1118">
            <v>418</v>
          </cell>
          <cell r="J1118">
            <v>3.47</v>
          </cell>
          <cell r="K1118">
            <v>4.82</v>
          </cell>
          <cell r="L1118">
            <v>1450.46</v>
          </cell>
        </row>
        <row r="1119">
          <cell r="D1119" t="str">
            <v xml:space="preserve">  F. 46.            </v>
          </cell>
          <cell r="E1119" t="str">
            <v xml:space="preserve">      </v>
          </cell>
          <cell r="F1119" t="str">
            <v>5.</v>
          </cell>
          <cell r="G1119" t="str">
            <v xml:space="preserve">Reforma da Galeria de Tubulações  </v>
          </cell>
          <cell r="H1119" t="str">
            <v xml:space="preserve">      </v>
          </cell>
          <cell r="I1119">
            <v>0</v>
          </cell>
          <cell r="J1119">
            <v>0</v>
          </cell>
          <cell r="K1119">
            <v>0</v>
          </cell>
          <cell r="L1119">
            <v>0</v>
          </cell>
        </row>
        <row r="1120">
          <cell r="D1120" t="str">
            <v xml:space="preserve">  F. 47.            </v>
          </cell>
          <cell r="E1120" t="str">
            <v>CP0956</v>
          </cell>
          <cell r="F1120" t="str">
            <v>5.1.</v>
          </cell>
          <cell r="G1120" t="str">
            <v xml:space="preserve">Apicoamento superficial de concreto  </v>
          </cell>
          <cell r="H1120" t="str">
            <v xml:space="preserve">m2    </v>
          </cell>
          <cell r="I1120">
            <v>62</v>
          </cell>
          <cell r="J1120">
            <v>9.2899999999999991</v>
          </cell>
          <cell r="K1120">
            <v>13</v>
          </cell>
          <cell r="L1120">
            <v>575.98</v>
          </cell>
        </row>
        <row r="1121">
          <cell r="D1121" t="str">
            <v xml:space="preserve">  F. 48.            </v>
          </cell>
          <cell r="E1121" t="str">
            <v>CP0128</v>
          </cell>
          <cell r="F1121" t="str">
            <v>5.2.</v>
          </cell>
          <cell r="G1121" t="str">
            <v xml:space="preserve">Cimentado rústico com junta plástica  </v>
          </cell>
          <cell r="H1121" t="str">
            <v xml:space="preserve">m2    </v>
          </cell>
          <cell r="I1121">
            <v>96</v>
          </cell>
          <cell r="J1121">
            <v>16.27</v>
          </cell>
          <cell r="K1121">
            <v>13.82</v>
          </cell>
          <cell r="L1121">
            <v>1561.92</v>
          </cell>
        </row>
        <row r="1122">
          <cell r="D1122" t="str">
            <v xml:space="preserve">  F. 49.            </v>
          </cell>
          <cell r="E1122" t="str">
            <v>CP0259</v>
          </cell>
          <cell r="F1122" t="str">
            <v>5.3.</v>
          </cell>
          <cell r="G1122" t="str">
            <v xml:space="preserve">Pintura epoxi, cor branco gelo (2 demãos)  </v>
          </cell>
          <cell r="H1122" t="str">
            <v xml:space="preserve">m2    </v>
          </cell>
          <cell r="I1122">
            <v>560</v>
          </cell>
          <cell r="J1122">
            <v>15.9</v>
          </cell>
          <cell r="K1122">
            <v>22.71</v>
          </cell>
          <cell r="L1122">
            <v>8904</v>
          </cell>
        </row>
        <row r="1123">
          <cell r="D1123" t="str">
            <v xml:space="preserve">  F. 50.            </v>
          </cell>
          <cell r="E1123" t="str">
            <v>CP0233</v>
          </cell>
          <cell r="F1123" t="str">
            <v>5.4.</v>
          </cell>
          <cell r="G1123" t="str">
            <v xml:space="preserve">Esmalte sintético acetinado cor branco gelo da CORAL ou similar  </v>
          </cell>
          <cell r="H1123" t="str">
            <v xml:space="preserve">m2    </v>
          </cell>
          <cell r="I1123">
            <v>348</v>
          </cell>
          <cell r="J1123">
            <v>8.7899999999999991</v>
          </cell>
          <cell r="K1123">
            <v>12.55</v>
          </cell>
          <cell r="L1123">
            <v>3058.92</v>
          </cell>
        </row>
        <row r="1124">
          <cell r="D1124" t="str">
            <v xml:space="preserve">  F. 51.            </v>
          </cell>
          <cell r="E1124" t="str">
            <v>CP0135</v>
          </cell>
          <cell r="F1124" t="str">
            <v>5.5.</v>
          </cell>
          <cell r="G1124" t="str">
            <v xml:space="preserve">Guarda corpo em tubo cromado, diâmetro 2e  metalon diâmetro 3,5 x 3,5 cm, inclusive montantes em chapa de aço escovado e acessórios para fixação, conforme projeto  </v>
          </cell>
          <cell r="H1124" t="str">
            <v xml:space="preserve">m     </v>
          </cell>
          <cell r="I1124">
            <v>164</v>
          </cell>
          <cell r="J1124">
            <v>129.85</v>
          </cell>
          <cell r="K1124">
            <v>108.46</v>
          </cell>
          <cell r="L1124">
            <v>21295.4</v>
          </cell>
        </row>
        <row r="1125">
          <cell r="D1125" t="str">
            <v xml:space="preserve">  F. 52.            </v>
          </cell>
          <cell r="E1125" t="str">
            <v xml:space="preserve">      </v>
          </cell>
          <cell r="F1125" t="str">
            <v>6.</v>
          </cell>
          <cell r="G1125" t="str">
            <v xml:space="preserve">Fornecimento de Equipamentos, Válvulas e Miscelâneas Diversas para Instalações de Processo  </v>
          </cell>
          <cell r="H1125" t="str">
            <v xml:space="preserve">      </v>
          </cell>
          <cell r="I1125">
            <v>0</v>
          </cell>
          <cell r="J1125">
            <v>0</v>
          </cell>
          <cell r="K1125">
            <v>0</v>
          </cell>
          <cell r="L1125">
            <v>0</v>
          </cell>
        </row>
        <row r="1126">
          <cell r="D1126" t="str">
            <v xml:space="preserve">  F. 53.            </v>
          </cell>
          <cell r="E1126" t="str">
            <v xml:space="preserve">      </v>
          </cell>
          <cell r="F1126" t="str">
            <v>6.1.</v>
          </cell>
          <cell r="G1126" t="str">
            <v xml:space="preserve">Torneira em bronze c/ adaptador para mangueira:  </v>
          </cell>
          <cell r="H1126" t="str">
            <v xml:space="preserve">      </v>
          </cell>
          <cell r="I1126">
            <v>0</v>
          </cell>
          <cell r="J1126">
            <v>0</v>
          </cell>
          <cell r="K1126">
            <v>0</v>
          </cell>
          <cell r="L1126">
            <v>0</v>
          </cell>
        </row>
        <row r="1127">
          <cell r="D1127" t="str">
            <v xml:space="preserve">  F. 54.            </v>
          </cell>
          <cell r="E1127" t="str">
            <v>CP1967</v>
          </cell>
          <cell r="F1127" t="str">
            <v>6.1.1.</v>
          </cell>
          <cell r="G1127" t="str">
            <v xml:space="preserve">Torneira em bronze c/ adaptador para mangueira: 3/4  </v>
          </cell>
          <cell r="H1127" t="str">
            <v xml:space="preserve">un    </v>
          </cell>
          <cell r="I1127">
            <v>24</v>
          </cell>
          <cell r="J1127">
            <v>17.510000000000002</v>
          </cell>
          <cell r="K1127">
            <v>25.02</v>
          </cell>
          <cell r="L1127">
            <v>420.24</v>
          </cell>
        </row>
        <row r="1128">
          <cell r="D1128" t="str">
            <v xml:space="preserve">  F. 55.            </v>
          </cell>
          <cell r="E1128" t="str">
            <v>CP1564</v>
          </cell>
          <cell r="F1128" t="str">
            <v>6.2.</v>
          </cell>
          <cell r="G1128" t="str">
            <v xml:space="preserve">Válvula duplo solenóide 5/2 vias ø 1/4, 220 V - 60 Hz, pressão de trabalho até 7 bar  </v>
          </cell>
          <cell r="H1128" t="str">
            <v xml:space="preserve">un    </v>
          </cell>
          <cell r="I1128">
            <v>96</v>
          </cell>
          <cell r="J1128">
            <v>535.92999999999995</v>
          </cell>
          <cell r="K1128">
            <v>446.98</v>
          </cell>
          <cell r="L1128">
            <v>51449.279999999999</v>
          </cell>
        </row>
        <row r="1129">
          <cell r="D1129" t="str">
            <v xml:space="preserve">  F. 56.            </v>
          </cell>
          <cell r="E1129" t="str">
            <v>CP2021</v>
          </cell>
          <cell r="F1129" t="str">
            <v>6.3.</v>
          </cell>
          <cell r="G1129" t="str">
            <v xml:space="preserve">Adaptador macho/fêmea em latão ø 1/2 x 1/4  </v>
          </cell>
          <cell r="H1129" t="str">
            <v xml:space="preserve">un    </v>
          </cell>
          <cell r="I1129">
            <v>96</v>
          </cell>
          <cell r="J1129">
            <v>13.69</v>
          </cell>
          <cell r="K1129">
            <v>11.48</v>
          </cell>
          <cell r="L1129">
            <v>1314.24</v>
          </cell>
        </row>
        <row r="1130">
          <cell r="D1130" t="str">
            <v xml:space="preserve">  F. 57.            </v>
          </cell>
          <cell r="E1130" t="str">
            <v>CP0628</v>
          </cell>
          <cell r="F1130" t="str">
            <v>6.4.</v>
          </cell>
          <cell r="G1130" t="str">
            <v xml:space="preserve">Conector macho em latão ø 3/8 x 1/4  </v>
          </cell>
          <cell r="H1130" t="str">
            <v xml:space="preserve">un    </v>
          </cell>
          <cell r="I1130">
            <v>576</v>
          </cell>
          <cell r="J1130">
            <v>24.92</v>
          </cell>
          <cell r="K1130">
            <v>20.92</v>
          </cell>
          <cell r="L1130">
            <v>14353.92</v>
          </cell>
        </row>
        <row r="1131">
          <cell r="D1131" t="str">
            <v xml:space="preserve">  F. 58.            </v>
          </cell>
          <cell r="E1131" t="str">
            <v>CP2005</v>
          </cell>
          <cell r="F1131" t="str">
            <v>6.5.</v>
          </cell>
          <cell r="G1131" t="str">
            <v xml:space="preserve">Tubo de nylon preto ø 3/8  </v>
          </cell>
          <cell r="H1131" t="str">
            <v xml:space="preserve">m     </v>
          </cell>
          <cell r="I1131">
            <v>288</v>
          </cell>
          <cell r="J1131">
            <v>13.55</v>
          </cell>
          <cell r="K1131">
            <v>17.350000000000001</v>
          </cell>
          <cell r="L1131">
            <v>3902.4</v>
          </cell>
        </row>
        <row r="1132">
          <cell r="D1132" t="str">
            <v xml:space="preserve">  F. 59.            </v>
          </cell>
          <cell r="E1132" t="str">
            <v>CP1326</v>
          </cell>
          <cell r="F1132" t="str">
            <v>6.6.</v>
          </cell>
          <cell r="G1132" t="str">
            <v xml:space="preserve">Caixa vertedoura em fibra de vidro conforme detalhe  </v>
          </cell>
          <cell r="H1132" t="str">
            <v xml:space="preserve">un    </v>
          </cell>
          <cell r="I1132">
            <v>12</v>
          </cell>
          <cell r="J1132">
            <v>12889.91</v>
          </cell>
          <cell r="K1132">
            <v>18414.16</v>
          </cell>
          <cell r="L1132">
            <v>154678.92000000001</v>
          </cell>
        </row>
        <row r="1133">
          <cell r="D1133" t="str">
            <v xml:space="preserve">  F. 60.            </v>
          </cell>
          <cell r="E1133" t="str">
            <v xml:space="preserve">      </v>
          </cell>
          <cell r="F1133" t="str">
            <v>7.</v>
          </cell>
          <cell r="G1133" t="str">
            <v xml:space="preserve">Montagem de Equipamentos, Válvulas e Miscelâneas Diversas para Instalações de Processo  </v>
          </cell>
          <cell r="H1133" t="str">
            <v xml:space="preserve">      </v>
          </cell>
          <cell r="I1133">
            <v>0</v>
          </cell>
          <cell r="J1133">
            <v>0</v>
          </cell>
          <cell r="K1133">
            <v>0</v>
          </cell>
          <cell r="L1133">
            <v>0</v>
          </cell>
        </row>
        <row r="1134">
          <cell r="D1134" t="str">
            <v xml:space="preserve">  F. 61.            </v>
          </cell>
          <cell r="E1134" t="str">
            <v xml:space="preserve">      </v>
          </cell>
          <cell r="F1134" t="str">
            <v>7.1.</v>
          </cell>
          <cell r="G1134" t="str">
            <v xml:space="preserve">Montagem de Equipamentos, Válvulas e Miscelâneas Diversas para Instalações de Processo Torneira em bronze c/ adaptador para mangueira:  </v>
          </cell>
          <cell r="H1134" t="str">
            <v xml:space="preserve">      </v>
          </cell>
          <cell r="I1134">
            <v>0</v>
          </cell>
          <cell r="J1134">
            <v>0</v>
          </cell>
          <cell r="K1134">
            <v>0</v>
          </cell>
          <cell r="L1134">
            <v>0</v>
          </cell>
        </row>
        <row r="1135">
          <cell r="D1135" t="str">
            <v xml:space="preserve">  F. 62.            </v>
          </cell>
          <cell r="E1135" t="str">
            <v>CP0414</v>
          </cell>
          <cell r="F1135" t="str">
            <v>7.1.1.</v>
          </cell>
          <cell r="G1135" t="str">
            <v xml:space="preserve">Torneira em bronze c/ adaptador para mangueira: 3/4  </v>
          </cell>
          <cell r="H1135" t="str">
            <v xml:space="preserve">un    </v>
          </cell>
          <cell r="I1135">
            <v>24</v>
          </cell>
          <cell r="J1135">
            <v>14.13</v>
          </cell>
          <cell r="K1135">
            <v>11.79</v>
          </cell>
          <cell r="L1135">
            <v>339.12</v>
          </cell>
        </row>
        <row r="1136">
          <cell r="D1136" t="str">
            <v xml:space="preserve">  F. 63.            </v>
          </cell>
          <cell r="E1136" t="str">
            <v>CP4611</v>
          </cell>
          <cell r="F1136" t="str">
            <v>7.2.</v>
          </cell>
          <cell r="G1136" t="str">
            <v xml:space="preserve">Válvula duplo solenóide 5/2 vias ø 1/4, 220 V - 60 Hz, pressão de trabalho até 7 bar  </v>
          </cell>
          <cell r="H1136" t="str">
            <v xml:space="preserve">un    </v>
          </cell>
          <cell r="I1136">
            <v>96</v>
          </cell>
          <cell r="J1136">
            <v>73.72</v>
          </cell>
          <cell r="K1136">
            <v>61.71</v>
          </cell>
          <cell r="L1136">
            <v>7077.12</v>
          </cell>
        </row>
        <row r="1137">
          <cell r="D1137" t="str">
            <v xml:space="preserve">  F. 64.            </v>
          </cell>
          <cell r="E1137" t="str">
            <v>CP0400</v>
          </cell>
          <cell r="F1137" t="str">
            <v>7.3.</v>
          </cell>
          <cell r="G1137" t="str">
            <v xml:space="preserve">Adaptador macho/fêmea em latão ø 1/2 x 1/4  </v>
          </cell>
          <cell r="H1137" t="str">
            <v xml:space="preserve">un    </v>
          </cell>
          <cell r="I1137">
            <v>96</v>
          </cell>
          <cell r="J1137">
            <v>5.51</v>
          </cell>
          <cell r="K1137">
            <v>4.6100000000000003</v>
          </cell>
          <cell r="L1137">
            <v>528.96</v>
          </cell>
        </row>
        <row r="1138">
          <cell r="D1138" t="str">
            <v xml:space="preserve">  F. 65.            </v>
          </cell>
          <cell r="E1138" t="str">
            <v>CP0400</v>
          </cell>
          <cell r="F1138" t="str">
            <v>7.4.</v>
          </cell>
          <cell r="G1138" t="str">
            <v xml:space="preserve">Conector macho em latão ø 3/8 x 1/4  </v>
          </cell>
          <cell r="H1138" t="str">
            <v xml:space="preserve">un    </v>
          </cell>
          <cell r="I1138">
            <v>576</v>
          </cell>
          <cell r="J1138">
            <v>5.51</v>
          </cell>
          <cell r="K1138">
            <v>5.78</v>
          </cell>
          <cell r="L1138">
            <v>3173.76</v>
          </cell>
        </row>
        <row r="1139">
          <cell r="D1139" t="str">
            <v xml:space="preserve">  F. 66.            </v>
          </cell>
          <cell r="E1139" t="str">
            <v>CP0396</v>
          </cell>
          <cell r="F1139" t="str">
            <v>7.5.</v>
          </cell>
          <cell r="G1139" t="str">
            <v xml:space="preserve">Tubo de nylon preto ø 3/8  </v>
          </cell>
          <cell r="H1139" t="str">
            <v xml:space="preserve">m     </v>
          </cell>
          <cell r="I1139">
            <v>288</v>
          </cell>
          <cell r="J1139">
            <v>7.06</v>
          </cell>
          <cell r="K1139">
            <v>6.16</v>
          </cell>
          <cell r="L1139">
            <v>2033.28</v>
          </cell>
        </row>
        <row r="1140">
          <cell r="D1140" t="str">
            <v xml:space="preserve">  F. 67.            </v>
          </cell>
          <cell r="E1140" t="str">
            <v>CP0386</v>
          </cell>
          <cell r="F1140" t="str">
            <v>7.6.</v>
          </cell>
          <cell r="G1140" t="str">
            <v xml:space="preserve">Caixa vertedoura em fibra de vidro conforme detalhe  </v>
          </cell>
          <cell r="H1140" t="str">
            <v xml:space="preserve">un    </v>
          </cell>
          <cell r="I1140">
            <v>12</v>
          </cell>
          <cell r="J1140">
            <v>610.98</v>
          </cell>
          <cell r="K1140">
            <v>872.83</v>
          </cell>
          <cell r="L1140">
            <v>7331.76</v>
          </cell>
        </row>
        <row r="1141">
          <cell r="D1141" t="str">
            <v xml:space="preserve">  F. 68.            </v>
          </cell>
          <cell r="E1141" t="str">
            <v xml:space="preserve">      </v>
          </cell>
          <cell r="F1141" t="str">
            <v>8.</v>
          </cell>
          <cell r="G1141" t="str">
            <v xml:space="preserve">Fornecimento de Tubos, Peças, Conexões e Aparelhos Hidráulicos  </v>
          </cell>
          <cell r="H1141" t="str">
            <v xml:space="preserve">      </v>
          </cell>
          <cell r="I1141">
            <v>0</v>
          </cell>
          <cell r="J1141">
            <v>0</v>
          </cell>
          <cell r="K1141">
            <v>0</v>
          </cell>
          <cell r="L1141">
            <v>0</v>
          </cell>
        </row>
        <row r="1142">
          <cell r="D1142" t="str">
            <v xml:space="preserve">  F. 69.            </v>
          </cell>
          <cell r="E1142" t="str">
            <v xml:space="preserve">      </v>
          </cell>
          <cell r="F1142" t="str">
            <v>8.1.</v>
          </cell>
          <cell r="G1142" t="str">
            <v xml:space="preserve">Tubos de aço carbono ASTM A-36/93, calandrados e soldados pelo processo do arco submerso, com pontas biseladas para solda em campo e/ou flangeadas. Revestimento interno e externo com tinta epoxi.  </v>
          </cell>
          <cell r="H1142" t="str">
            <v xml:space="preserve">      </v>
          </cell>
          <cell r="I1142">
            <v>0</v>
          </cell>
          <cell r="J1142">
            <v>0</v>
          </cell>
          <cell r="K1142">
            <v>0</v>
          </cell>
          <cell r="L1142">
            <v>0</v>
          </cell>
        </row>
        <row r="1143">
          <cell r="D1143" t="str">
            <v xml:space="preserve">  F. 70.            </v>
          </cell>
          <cell r="E1143" t="str">
            <v>CP1520</v>
          </cell>
          <cell r="F1143" t="str">
            <v>8.1.1.</v>
          </cell>
          <cell r="G1143" t="str">
            <v xml:space="preserve">Tubos de aço carbono ASTM A-36/93, calandrados e soldados pelo processo do arco submerso, com pontas biseladas para solda em campo e/ou flangeadas. Revestimento interno e externo com tinta epoxi. DN 350 esp. 1/4  </v>
          </cell>
          <cell r="H1143" t="str">
            <v xml:space="preserve">m     </v>
          </cell>
          <cell r="I1143">
            <v>54</v>
          </cell>
          <cell r="J1143">
            <v>1231.74</v>
          </cell>
          <cell r="K1143">
            <v>1161.72</v>
          </cell>
          <cell r="L1143">
            <v>66513.960000000006</v>
          </cell>
        </row>
        <row r="1144">
          <cell r="D1144" t="str">
            <v xml:space="preserve">  F. 71.            </v>
          </cell>
          <cell r="E1144" t="str">
            <v>CP1444</v>
          </cell>
          <cell r="F1144" t="str">
            <v>8.1.2.</v>
          </cell>
          <cell r="G1144" t="str">
            <v xml:space="preserve">Tubos de aço carbono ASTM A-36/93, calandrados e soldados pelo processo do arco submerso, com pontas biseladas para solda em campo e/ou flangeadas. Revestimento interno e externo com tinta epoxi. DN 800 esp. 1/4,  L = 0,25 m, com flanges  </v>
          </cell>
          <cell r="H1144" t="str">
            <v xml:space="preserve">pç    </v>
          </cell>
          <cell r="I1144">
            <v>2</v>
          </cell>
          <cell r="J1144">
            <v>7955.21</v>
          </cell>
          <cell r="K1144">
            <v>8951.5300000000007</v>
          </cell>
          <cell r="L1144">
            <v>15910.42</v>
          </cell>
        </row>
        <row r="1145">
          <cell r="D1145" t="str">
            <v xml:space="preserve">  F. 72.            </v>
          </cell>
          <cell r="E1145" t="str">
            <v>CP1322</v>
          </cell>
          <cell r="F1145" t="str">
            <v>8.1.3.</v>
          </cell>
          <cell r="G1145" t="str">
            <v xml:space="preserve">Tubos de aço carbono ASTM A-36/93, calandrados e soldados pelo processo do arco submerso, com pontas biseladas para solda em campo e/ou flangeadas. Revestimento interno e externo com tinta epoxi. DN 2000, esp. 1/2, L = 1,50 m, c/ pontas e aba de vedação  </v>
          </cell>
          <cell r="H1145" t="str">
            <v xml:space="preserve">pç    </v>
          </cell>
          <cell r="I1145">
            <v>1</v>
          </cell>
          <cell r="J1145">
            <v>13387.61</v>
          </cell>
          <cell r="K1145">
            <v>15254.95</v>
          </cell>
          <cell r="L1145">
            <v>13387.61</v>
          </cell>
        </row>
        <row r="1146">
          <cell r="D1146" t="str">
            <v xml:space="preserve">  F. 73.            </v>
          </cell>
          <cell r="E1146" t="str">
            <v>CP1559</v>
          </cell>
          <cell r="F1146" t="str">
            <v>8.1.4.</v>
          </cell>
          <cell r="G1146" t="str">
            <v xml:space="preserve">Tubos de aço carbono ASTM A-36/93, calandrados e soldados pelo processo do arco submerso, com pontas biseladas para solda em campo e/ou flangeadas. Revestimento interno e externo com tinta epoxi. DN 350 esp. 1/4, L = 0,40 m, c/ pontas e aba de vedação  </v>
          </cell>
          <cell r="H1146" t="str">
            <v xml:space="preserve">pç    </v>
          </cell>
          <cell r="I1146">
            <v>24</v>
          </cell>
          <cell r="J1146">
            <v>995.02</v>
          </cell>
          <cell r="K1146">
            <v>1119.57</v>
          </cell>
          <cell r="L1146">
            <v>23880.48</v>
          </cell>
        </row>
        <row r="1147">
          <cell r="D1147" t="str">
            <v xml:space="preserve">  F. 74.            </v>
          </cell>
          <cell r="E1147" t="str">
            <v xml:space="preserve">      </v>
          </cell>
          <cell r="F1147" t="str">
            <v>8.2.</v>
          </cell>
          <cell r="G1147" t="str">
            <v xml:space="preserve">Peças e conexões em aço carbono ASTM A-36/93, calandradas e soldadas pelo processo do arco submerso, com pontas biseladas para solda em campo e/ou flangeadas. Revestimento interno e externo com tinta epoxi  </v>
          </cell>
          <cell r="H1147" t="str">
            <v xml:space="preserve">      </v>
          </cell>
          <cell r="I1147">
            <v>0</v>
          </cell>
          <cell r="J1147">
            <v>0</v>
          </cell>
          <cell r="K1147">
            <v>0</v>
          </cell>
          <cell r="L1147">
            <v>0</v>
          </cell>
        </row>
        <row r="1148">
          <cell r="D1148" t="str">
            <v xml:space="preserve">  F. 75.            </v>
          </cell>
          <cell r="E1148" t="str">
            <v xml:space="preserve">      </v>
          </cell>
          <cell r="F1148" t="str">
            <v>8.2.1.</v>
          </cell>
          <cell r="G1148" t="str">
            <v xml:space="preserve">Peças e conexões em aço carbono ASTM A-36/93, calandradas e soldadas pelo processo do arco submerso, com pontas biseladas para solda em campo e/ou flangeadas. Revestimento interno e externo com tinta epoxi Curvas  </v>
          </cell>
          <cell r="H1148" t="str">
            <v xml:space="preserve">      </v>
          </cell>
          <cell r="I1148">
            <v>0</v>
          </cell>
          <cell r="J1148">
            <v>0</v>
          </cell>
          <cell r="K1148">
            <v>0</v>
          </cell>
          <cell r="L1148">
            <v>0</v>
          </cell>
        </row>
        <row r="1149">
          <cell r="D1149" t="str">
            <v xml:space="preserve">  F. 76.            </v>
          </cell>
          <cell r="E1149" t="str">
            <v>CP1499</v>
          </cell>
          <cell r="F1149" t="str">
            <v>8.2.1.1.</v>
          </cell>
          <cell r="G1149" t="str">
            <v xml:space="preserve">Peças e conexões em aço carbono ASTM A-36/93, calandradas e soldadas pelo processo do arco submerso, com pontas biseladas para solda em campo e/ou flangeadas. Revestimento interno e externo com tinta epoxi Curva 90o DN 350 esp. 1/4, com flange ponta  </v>
          </cell>
          <cell r="H1149" t="str">
            <v xml:space="preserve">pç    </v>
          </cell>
          <cell r="I1149">
            <v>24</v>
          </cell>
          <cell r="J1149">
            <v>2120.35</v>
          </cell>
          <cell r="K1149">
            <v>2334.91</v>
          </cell>
          <cell r="L1149">
            <v>50888.4</v>
          </cell>
        </row>
        <row r="1150">
          <cell r="D1150" t="str">
            <v xml:space="preserve">  F. 77.            </v>
          </cell>
          <cell r="E1150" t="str">
            <v>CP1535</v>
          </cell>
          <cell r="F1150" t="str">
            <v>8.2.1.2.</v>
          </cell>
          <cell r="G1150" t="str">
            <v xml:space="preserve">Peças e conexões em aço carbono ASTM A-36/93, calandradas e soldadas pelo processo do arco submerso, com pontas biseladas para solda em campo e/ou flangeadas. Revestimento interno e externo com tinta epoxi Curva 90o DN 350 esp. 1/4, com pontas  </v>
          </cell>
          <cell r="H1150" t="str">
            <v xml:space="preserve">pç    </v>
          </cell>
          <cell r="I1150">
            <v>72</v>
          </cell>
          <cell r="J1150">
            <v>1100.5</v>
          </cell>
          <cell r="K1150">
            <v>1209.8800000000001</v>
          </cell>
          <cell r="L1150">
            <v>79236</v>
          </cell>
        </row>
        <row r="1151">
          <cell r="D1151" t="str">
            <v xml:space="preserve">  F. 78.            </v>
          </cell>
          <cell r="E1151" t="str">
            <v>CP1368</v>
          </cell>
          <cell r="F1151" t="str">
            <v>8.2.2.</v>
          </cell>
          <cell r="G1151" t="str">
            <v>Peças e conexões em aço carbono ASTM A-36/93, calandradas e soldadas pelo processo do arco submerso, com pontas biseladas para solda em campo e/ou flangeadas. Revestimento interno e externo com tinta epoxi Toco com flanges, aço, L = 1,10 m, DN 800, esp. 1</v>
          </cell>
          <cell r="H1151" t="str">
            <v xml:space="preserve">pç    </v>
          </cell>
          <cell r="I1151">
            <v>2</v>
          </cell>
          <cell r="J1151">
            <v>11424.85</v>
          </cell>
          <cell r="K1151">
            <v>16321.22</v>
          </cell>
          <cell r="L1151">
            <v>22849.7</v>
          </cell>
        </row>
        <row r="1152">
          <cell r="D1152" t="str">
            <v xml:space="preserve">  F. 79.            </v>
          </cell>
          <cell r="E1152" t="str">
            <v xml:space="preserve">      </v>
          </cell>
          <cell r="F1152" t="str">
            <v>8.2.3.</v>
          </cell>
          <cell r="G1152" t="str">
            <v xml:space="preserve">Peças e conexões em aço carbono ASTM A-36/93, calandradas e soldadas pelo processo do arco submerso, com pontas biseladas para solda em campo e/ou flangeadas. Revestimento interno e externo com tinta epoxi Flange cego em aço  </v>
          </cell>
          <cell r="H1152" t="str">
            <v xml:space="preserve">      </v>
          </cell>
          <cell r="I1152">
            <v>0</v>
          </cell>
          <cell r="J1152">
            <v>0</v>
          </cell>
          <cell r="K1152">
            <v>0</v>
          </cell>
          <cell r="L1152">
            <v>0</v>
          </cell>
        </row>
        <row r="1153">
          <cell r="D1153" t="str">
            <v xml:space="preserve">  F. 80.            </v>
          </cell>
          <cell r="E1153" t="str">
            <v>CP1466</v>
          </cell>
          <cell r="F1153" t="str">
            <v>8.2.3.1.</v>
          </cell>
          <cell r="G1153" t="str">
            <v xml:space="preserve">Peças e conexões em aço carbono ASTM A-36/93, calandradas e soldadas pelo processo do arco submerso, com pontas biseladas para solda em campo e/ou flangeadas. Revestimento interno e externo com tinta epoxi Flange cego em aço DN 800  </v>
          </cell>
          <cell r="H1153" t="str">
            <v xml:space="preserve">pç    </v>
          </cell>
          <cell r="I1153">
            <v>1</v>
          </cell>
          <cell r="J1153">
            <v>5998.59</v>
          </cell>
          <cell r="K1153">
            <v>8569.42</v>
          </cell>
          <cell r="L1153">
            <v>5998.59</v>
          </cell>
        </row>
        <row r="1154">
          <cell r="D1154" t="str">
            <v xml:space="preserve">  F. 81.            </v>
          </cell>
          <cell r="E1154" t="str">
            <v xml:space="preserve">      </v>
          </cell>
          <cell r="F1154" t="str">
            <v>8.2.4.</v>
          </cell>
          <cell r="G1154" t="str">
            <v xml:space="preserve">Peças e conexões em aço carbono ASTM A-36/93, calandradas e soldadas pelo processo do arco submerso, com pontas biseladas para solda em campo e/ou flangeadas. Revestimento interno e externo com tinta epoxi Flange avulso em aço  </v>
          </cell>
          <cell r="H1154" t="str">
            <v xml:space="preserve">      </v>
          </cell>
          <cell r="I1154">
            <v>0</v>
          </cell>
          <cell r="J1154">
            <v>0</v>
          </cell>
          <cell r="K1154">
            <v>0</v>
          </cell>
          <cell r="L1154">
            <v>0</v>
          </cell>
        </row>
        <row r="1155">
          <cell r="D1155" t="str">
            <v xml:space="preserve">  F. 82.            </v>
          </cell>
          <cell r="E1155" t="str">
            <v>CP1443</v>
          </cell>
          <cell r="F1155" t="str">
            <v>8.2.4.1.</v>
          </cell>
          <cell r="G1155" t="str">
            <v xml:space="preserve">Peças e conexões em aço carbono ASTM A-36/93, calandradas e soldadas pelo processo do arco submerso, com pontas biseladas para solda em campo e/ou flangeadas. Revestimento interno e externo com tinta epoxi Flange avulso em aço DN 900  </v>
          </cell>
          <cell r="H1155" t="str">
            <v xml:space="preserve">pç    </v>
          </cell>
          <cell r="I1155">
            <v>1</v>
          </cell>
          <cell r="J1155">
            <v>6377.28</v>
          </cell>
          <cell r="K1155">
            <v>9110.4</v>
          </cell>
          <cell r="L1155">
            <v>6377.28</v>
          </cell>
        </row>
        <row r="1156">
          <cell r="D1156" t="str">
            <v xml:space="preserve">  F. 83.            </v>
          </cell>
          <cell r="E1156" t="str">
            <v xml:space="preserve">      </v>
          </cell>
          <cell r="F1156" t="str">
            <v>8.2.5.</v>
          </cell>
          <cell r="G1156" t="str">
            <v xml:space="preserve">Peças e conexões em aço carbono ASTM A-36/93, calandradas e soldadas pelo processo do arco submerso, com pontas biseladas para solda em campo e/ou flangeadas. Revestimento interno e externo com tinta epoxi Junta de montagem rígida em aço:  </v>
          </cell>
          <cell r="H1156" t="str">
            <v xml:space="preserve">      </v>
          </cell>
          <cell r="I1156">
            <v>0</v>
          </cell>
          <cell r="J1156">
            <v>0</v>
          </cell>
          <cell r="K1156">
            <v>0</v>
          </cell>
          <cell r="L1156">
            <v>0</v>
          </cell>
        </row>
        <row r="1157">
          <cell r="D1157" t="str">
            <v xml:space="preserve">  F. 84.            </v>
          </cell>
          <cell r="E1157" t="str">
            <v>CP1286</v>
          </cell>
          <cell r="F1157" t="str">
            <v>8.2.5.1.</v>
          </cell>
          <cell r="G1157" t="str">
            <v xml:space="preserve">Peças e conexões em aço carbono ASTM A-36/93, calandradas e soldadas pelo processo do arco submerso, com pontas biseladas para solda em campo e/ou flangeadas. Revestimento interno e externo com tinta epoxi Junta de montagem rígida em aço: DN 800  </v>
          </cell>
          <cell r="H1157" t="str">
            <v xml:space="preserve">pç    </v>
          </cell>
          <cell r="I1157">
            <v>2</v>
          </cell>
          <cell r="J1157">
            <v>23828.67</v>
          </cell>
          <cell r="K1157">
            <v>34040.949999999997</v>
          </cell>
          <cell r="L1157">
            <v>47657.34</v>
          </cell>
        </row>
        <row r="1158">
          <cell r="D1158" t="str">
            <v xml:space="preserve">  F. 85.            </v>
          </cell>
          <cell r="E1158" t="str">
            <v xml:space="preserve">      </v>
          </cell>
          <cell r="F1158" t="str">
            <v>8.3.</v>
          </cell>
          <cell r="G1158" t="str">
            <v xml:space="preserve">Tubos e conexões em ferro dúctil, centrifugados, c/ revestimento interno de cimento e externo em pintura betuminosa anticorrosiva na cor preta.  </v>
          </cell>
          <cell r="H1158" t="str">
            <v xml:space="preserve">      </v>
          </cell>
          <cell r="I1158">
            <v>0</v>
          </cell>
          <cell r="J1158">
            <v>0</v>
          </cell>
          <cell r="K1158">
            <v>0</v>
          </cell>
          <cell r="L1158">
            <v>0</v>
          </cell>
        </row>
        <row r="1159">
          <cell r="D1159" t="str">
            <v xml:space="preserve">  F. 86.            </v>
          </cell>
          <cell r="E1159" t="str">
            <v>CP1021</v>
          </cell>
          <cell r="F1159" t="str">
            <v>8.3.1.</v>
          </cell>
          <cell r="G1159" t="str">
            <v xml:space="preserve">Tubos e conexões em ferro dúctil, centrifugados, c/ revestimento interno de cimento e externo em pintura betuminosa anticorrosiva na cor preta. Tubo DN 200, junta elástica, (TK7JGS D=200mm)  </v>
          </cell>
          <cell r="H1159" t="str">
            <v xml:space="preserve">m     </v>
          </cell>
          <cell r="I1159">
            <v>8</v>
          </cell>
          <cell r="J1159">
            <v>233.27</v>
          </cell>
          <cell r="K1159">
            <v>200.37</v>
          </cell>
          <cell r="L1159">
            <v>1866.16</v>
          </cell>
        </row>
        <row r="1160">
          <cell r="D1160" t="str">
            <v xml:space="preserve">  F. 87.            </v>
          </cell>
          <cell r="E1160" t="str">
            <v>CP1016</v>
          </cell>
          <cell r="F1160" t="str">
            <v>8.3.2.</v>
          </cell>
          <cell r="G1160" t="str">
            <v xml:space="preserve">Tubos e conexões em ferro dúctil, centrifugados, c/ revestimento interno de cimento e externo em pintura betuminosa anticorrosiva na cor preta. Curva 90o com bolsas, JE (C90JGS 200 mm)  </v>
          </cell>
          <cell r="H1160" t="str">
            <v xml:space="preserve">pç    </v>
          </cell>
          <cell r="I1160">
            <v>1</v>
          </cell>
          <cell r="J1160">
            <v>243.26</v>
          </cell>
          <cell r="K1160">
            <v>203.68</v>
          </cell>
          <cell r="L1160">
            <v>243.26</v>
          </cell>
        </row>
        <row r="1161">
          <cell r="D1161" t="str">
            <v xml:space="preserve">  F. 88.            </v>
          </cell>
          <cell r="E1161" t="str">
            <v>CP1676</v>
          </cell>
          <cell r="F1161" t="str">
            <v>8.3.3.</v>
          </cell>
          <cell r="G1161" t="str">
            <v xml:space="preserve">Tubos e conexões em ferro dúctil, centrifugados, c/ revestimento interno de cimento e externo em pintura betuminosa anticorrosiva na cor preta. Extremidade flange e ponta JE (EFJGS 200 mm)  </v>
          </cell>
          <cell r="H1161" t="str">
            <v xml:space="preserve">pç    </v>
          </cell>
          <cell r="I1161">
            <v>1</v>
          </cell>
          <cell r="J1161">
            <v>304.56</v>
          </cell>
          <cell r="K1161">
            <v>294.85000000000002</v>
          </cell>
          <cell r="L1161">
            <v>304.56</v>
          </cell>
        </row>
        <row r="1162">
          <cell r="D1162" t="str">
            <v xml:space="preserve">  F. 89.            </v>
          </cell>
          <cell r="E1162" t="str">
            <v xml:space="preserve">      </v>
          </cell>
          <cell r="F1162" t="str">
            <v>8.3.4.</v>
          </cell>
          <cell r="G1162" t="str">
            <v xml:space="preserve">Tubos e conexões em ferro dúctil, centrifugados, c/ revestimento interno de cimento e externo em pintura betuminosa anticorrosiva na cor preta. Tubo com flange e ponta, PN 10  </v>
          </cell>
          <cell r="H1162" t="str">
            <v xml:space="preserve">      </v>
          </cell>
          <cell r="I1162">
            <v>0</v>
          </cell>
          <cell r="J1162">
            <v>0</v>
          </cell>
          <cell r="K1162">
            <v>0</v>
          </cell>
          <cell r="L1162">
            <v>0</v>
          </cell>
        </row>
        <row r="1163">
          <cell r="D1163" t="str">
            <v xml:space="preserve">  F. 90.            </v>
          </cell>
          <cell r="E1163" t="str">
            <v>CP1647</v>
          </cell>
          <cell r="F1163" t="str">
            <v>8.3.4.1.</v>
          </cell>
          <cell r="G1163" t="str">
            <v xml:space="preserve">Tubos e conexões em ferro dúctil, centrifugados, c/ revestimento interno de cimento e externo em pintura betuminosa anticorrosiva na cor preta. Tubo com flange e ponta, PN 10 DN 200, L = 0,70 m  </v>
          </cell>
          <cell r="H1163" t="str">
            <v xml:space="preserve">pç    </v>
          </cell>
          <cell r="I1163">
            <v>1</v>
          </cell>
          <cell r="J1163">
            <v>586.41999999999996</v>
          </cell>
          <cell r="K1163">
            <v>835.5</v>
          </cell>
          <cell r="L1163">
            <v>586.41999999999996</v>
          </cell>
        </row>
        <row r="1164">
          <cell r="D1164" t="str">
            <v xml:space="preserve">  F. 91.            </v>
          </cell>
          <cell r="E1164" t="str">
            <v>CP0984</v>
          </cell>
          <cell r="F1164" t="str">
            <v>8.3.5.</v>
          </cell>
          <cell r="G1164" t="str">
            <v xml:space="preserve">Tubos e conexões em ferro dúctil, centrifugados, c/ revestimento interno de cimento e externo em pintura betuminosa anticorrosiva na cor preta. Junta gibault DN 200 (JGI D=200 mm)  </v>
          </cell>
          <cell r="H1164" t="str">
            <v xml:space="preserve">pç    </v>
          </cell>
          <cell r="I1164">
            <v>1</v>
          </cell>
          <cell r="J1164">
            <v>284.35000000000002</v>
          </cell>
          <cell r="K1164">
            <v>275.27999999999997</v>
          </cell>
          <cell r="L1164">
            <v>284.35000000000002</v>
          </cell>
        </row>
        <row r="1165">
          <cell r="D1165" t="str">
            <v xml:space="preserve">  F. 92.            </v>
          </cell>
          <cell r="E1165" t="str">
            <v>CP1007</v>
          </cell>
          <cell r="F1165" t="str">
            <v>8.3.6.</v>
          </cell>
          <cell r="G1165" t="str">
            <v xml:space="preserve">Tubos e conexões em ferro dúctil, centrifugados, c/ revestimento interno de cimento e externo em pintura betuminosa anticorrosiva na cor preta. Carretel completo, DN 350 (CLC10 D=350 mm x -0, 25 m)  </v>
          </cell>
          <cell r="H1165" t="str">
            <v xml:space="preserve">pç    </v>
          </cell>
          <cell r="I1165">
            <v>24</v>
          </cell>
          <cell r="J1165">
            <v>1180.99</v>
          </cell>
          <cell r="K1165">
            <v>987.09</v>
          </cell>
          <cell r="L1165">
            <v>28343.759999999998</v>
          </cell>
        </row>
        <row r="1166">
          <cell r="D1166" t="str">
            <v xml:space="preserve">  F. 93.            </v>
          </cell>
          <cell r="E1166" t="str">
            <v xml:space="preserve">      </v>
          </cell>
          <cell r="F1166" t="str">
            <v>8.3.7.</v>
          </cell>
          <cell r="G1166" t="str">
            <v xml:space="preserve">Tubo e conexões em fibra de vidro  </v>
          </cell>
          <cell r="H1166" t="str">
            <v xml:space="preserve">      </v>
          </cell>
          <cell r="I1166">
            <v>0</v>
          </cell>
          <cell r="J1166">
            <v>0</v>
          </cell>
          <cell r="K1166">
            <v>0</v>
          </cell>
          <cell r="L1166">
            <v>0</v>
          </cell>
        </row>
        <row r="1167">
          <cell r="D1167" t="str">
            <v xml:space="preserve">  F. 94.            </v>
          </cell>
          <cell r="E1167" t="str">
            <v>CP1392</v>
          </cell>
          <cell r="F1167" t="str">
            <v>8.3.7.1.</v>
          </cell>
          <cell r="G1167" t="str">
            <v xml:space="preserve">Tubo e conexões em fibra de vidro Curva 90o com flanges DN 350  </v>
          </cell>
          <cell r="H1167" t="str">
            <v xml:space="preserve">pç    </v>
          </cell>
          <cell r="I1167">
            <v>24</v>
          </cell>
          <cell r="J1167">
            <v>5219.71</v>
          </cell>
          <cell r="K1167">
            <v>7456.73</v>
          </cell>
          <cell r="L1167">
            <v>125273.04</v>
          </cell>
        </row>
        <row r="1168">
          <cell r="D1168" t="str">
            <v xml:space="preserve">  F. 95.            </v>
          </cell>
          <cell r="E1168" t="str">
            <v xml:space="preserve">      </v>
          </cell>
          <cell r="F1168" t="str">
            <v>8.3.8.</v>
          </cell>
          <cell r="G1168" t="str">
            <v xml:space="preserve">Válvulas e parelhos de ferro dúctil:  </v>
          </cell>
          <cell r="H1168" t="str">
            <v xml:space="preserve">      </v>
          </cell>
          <cell r="I1168">
            <v>0</v>
          </cell>
          <cell r="J1168">
            <v>0</v>
          </cell>
          <cell r="K1168">
            <v>0</v>
          </cell>
          <cell r="L1168">
            <v>0</v>
          </cell>
        </row>
        <row r="1169">
          <cell r="D1169" t="str">
            <v xml:space="preserve">  F. 96.            </v>
          </cell>
          <cell r="E1169" t="str">
            <v>CP1199</v>
          </cell>
          <cell r="F1169" t="str">
            <v>8.3.9.</v>
          </cell>
          <cell r="G1169" t="str">
            <v xml:space="preserve">Válvulas e parelhos de ferro dúctil: Válvula de retenção, com flanges, fechamento rápido, DN 800 da CLASAR  </v>
          </cell>
          <cell r="H1169" t="str">
            <v xml:space="preserve">un    </v>
          </cell>
          <cell r="I1169">
            <v>2</v>
          </cell>
          <cell r="J1169">
            <v>192310.31</v>
          </cell>
          <cell r="K1169">
            <v>274729.02</v>
          </cell>
          <cell r="L1169">
            <v>384620.62</v>
          </cell>
        </row>
        <row r="1170">
          <cell r="D1170" t="str">
            <v xml:space="preserve">  F. 97.            </v>
          </cell>
          <cell r="E1170" t="str">
            <v xml:space="preserve">      </v>
          </cell>
          <cell r="F1170" t="str">
            <v>8.3.10.</v>
          </cell>
          <cell r="G1170" t="str">
            <v xml:space="preserve">Válvulas e parelhos de ferro dúctil: Registro de gaveta, série chata, com flanges e cabeçote, PN 10  </v>
          </cell>
          <cell r="H1170" t="str">
            <v xml:space="preserve">      </v>
          </cell>
          <cell r="I1170">
            <v>0</v>
          </cell>
          <cell r="J1170">
            <v>0</v>
          </cell>
          <cell r="K1170">
            <v>0</v>
          </cell>
          <cell r="L1170">
            <v>0</v>
          </cell>
        </row>
        <row r="1171">
          <cell r="D1171" t="str">
            <v xml:space="preserve">  F. 98.            </v>
          </cell>
          <cell r="E1171" t="str">
            <v>CP1450</v>
          </cell>
          <cell r="F1171" t="str">
            <v>8.3.11.</v>
          </cell>
          <cell r="G1171" t="str">
            <v xml:space="preserve">Válvulas e parelhos de ferro dúctil: Registro de gaveta, série chata, com flanges e cabeçote, PN 10 DN 200  </v>
          </cell>
          <cell r="H1171" t="str">
            <v xml:space="preserve">un    </v>
          </cell>
          <cell r="I1171">
            <v>1</v>
          </cell>
          <cell r="J1171">
            <v>2007.35</v>
          </cell>
          <cell r="K1171">
            <v>1717.88</v>
          </cell>
          <cell r="L1171">
            <v>2007.35</v>
          </cell>
        </row>
        <row r="1172">
          <cell r="D1172" t="str">
            <v xml:space="preserve">  F. 99.            </v>
          </cell>
          <cell r="E1172" t="str">
            <v xml:space="preserve">      </v>
          </cell>
          <cell r="F1172" t="str">
            <v>8.3.12.</v>
          </cell>
          <cell r="G1172" t="str">
            <v xml:space="preserve">Válvulas e parelhos de ferro dúctil: Válvula borboleta, com flanges, acionamento pneumático  </v>
          </cell>
          <cell r="H1172" t="str">
            <v xml:space="preserve">      </v>
          </cell>
          <cell r="I1172">
            <v>0</v>
          </cell>
          <cell r="J1172">
            <v>0</v>
          </cell>
          <cell r="K1172">
            <v>0</v>
          </cell>
          <cell r="L1172">
            <v>0</v>
          </cell>
        </row>
        <row r="1173">
          <cell r="D1173" t="str">
            <v xml:space="preserve">  F.100.            </v>
          </cell>
          <cell r="E1173" t="str">
            <v>CP1281</v>
          </cell>
          <cell r="F1173" t="str">
            <v>8.3.12.1.</v>
          </cell>
          <cell r="G1173" t="str">
            <v xml:space="preserve">Válvulas e parelhos de ferro dúctil: Válvula borboleta, com flanges, acionamento pneumático DN 350  </v>
          </cell>
          <cell r="H1173" t="str">
            <v xml:space="preserve">un    </v>
          </cell>
          <cell r="I1173">
            <v>24</v>
          </cell>
          <cell r="J1173">
            <v>10851.25</v>
          </cell>
          <cell r="K1173">
            <v>9111.5400000000009</v>
          </cell>
          <cell r="L1173">
            <v>260430</v>
          </cell>
        </row>
        <row r="1174">
          <cell r="D1174" t="str">
            <v xml:space="preserve">  F.101.            </v>
          </cell>
          <cell r="E1174" t="str">
            <v xml:space="preserve">      </v>
          </cell>
          <cell r="F1174" t="str">
            <v>8.3.13.</v>
          </cell>
          <cell r="G1174" t="str">
            <v xml:space="preserve">Válvulas e parelhos de ferro dúctil: Válvula borboleta com flanges, acionamento manual  </v>
          </cell>
          <cell r="H1174" t="str">
            <v xml:space="preserve">      </v>
          </cell>
          <cell r="I1174">
            <v>0</v>
          </cell>
          <cell r="J1174">
            <v>0</v>
          </cell>
          <cell r="K1174">
            <v>0</v>
          </cell>
          <cell r="L1174">
            <v>0</v>
          </cell>
        </row>
        <row r="1175">
          <cell r="D1175" t="str">
            <v xml:space="preserve">  F.102.            </v>
          </cell>
          <cell r="E1175" t="str">
            <v>CP1248</v>
          </cell>
          <cell r="F1175" t="str">
            <v>8.3.13.1.</v>
          </cell>
          <cell r="G1175" t="str">
            <v xml:space="preserve">Válvulas e parelhos de ferro dúctil: Válvula borboleta com flanges, acionamento manual DN 800  </v>
          </cell>
          <cell r="H1175" t="str">
            <v xml:space="preserve">un    </v>
          </cell>
          <cell r="I1175">
            <v>2</v>
          </cell>
          <cell r="J1175">
            <v>46098.87</v>
          </cell>
          <cell r="K1175">
            <v>38476.129999999997</v>
          </cell>
          <cell r="L1175">
            <v>92197.74</v>
          </cell>
        </row>
        <row r="1176">
          <cell r="D1176" t="str">
            <v xml:space="preserve">  F.103.            </v>
          </cell>
          <cell r="E1176" t="str">
            <v>CP1189</v>
          </cell>
          <cell r="F1176" t="str">
            <v>8.4.</v>
          </cell>
          <cell r="G1176" t="str">
            <v xml:space="preserve">Acessórios para juntas flangeadas de tubos, conexões e aparelhos em Aço, Ferro Fundido e Fibra de Vidro  </v>
          </cell>
          <cell r="H1176" t="str">
            <v xml:space="preserve">pç    </v>
          </cell>
          <cell r="I1176">
            <v>1</v>
          </cell>
          <cell r="J1176">
            <v>235369.56</v>
          </cell>
          <cell r="K1176">
            <v>196409.56</v>
          </cell>
          <cell r="L1176">
            <v>235369.56</v>
          </cell>
        </row>
        <row r="1177">
          <cell r="D1177" t="str">
            <v xml:space="preserve">  F.104.            </v>
          </cell>
          <cell r="E1177" t="str">
            <v xml:space="preserve">      </v>
          </cell>
          <cell r="F1177" t="str">
            <v>9.</v>
          </cell>
          <cell r="G1177" t="str">
            <v xml:space="preserve">Assentamento de Tubos, Peças, Conexões e Aparelhos Hidráulicos  </v>
          </cell>
          <cell r="H1177" t="str">
            <v xml:space="preserve">      </v>
          </cell>
          <cell r="I1177">
            <v>0</v>
          </cell>
          <cell r="J1177">
            <v>0</v>
          </cell>
          <cell r="K1177">
            <v>0</v>
          </cell>
          <cell r="L1177">
            <v>0</v>
          </cell>
        </row>
        <row r="1178">
          <cell r="D1178" t="str">
            <v xml:space="preserve">  F.105.            </v>
          </cell>
          <cell r="E1178" t="str">
            <v xml:space="preserve">      </v>
          </cell>
          <cell r="F1178" t="str">
            <v>9.1.</v>
          </cell>
          <cell r="G1178" t="str">
            <v xml:space="preserve">Assentamento de Tubos e Conexões em Aço:  </v>
          </cell>
          <cell r="H1178" t="str">
            <v xml:space="preserve">      </v>
          </cell>
          <cell r="I1178">
            <v>0</v>
          </cell>
          <cell r="J1178">
            <v>0</v>
          </cell>
          <cell r="K1178">
            <v>0</v>
          </cell>
          <cell r="L1178">
            <v>0</v>
          </cell>
        </row>
        <row r="1179">
          <cell r="D1179" t="str">
            <v xml:space="preserve">  F.106.            </v>
          </cell>
          <cell r="E1179" t="str">
            <v>CP0175</v>
          </cell>
          <cell r="F1179" t="str">
            <v>9.1.1.</v>
          </cell>
          <cell r="G1179" t="str">
            <v xml:space="preserve">Assentamento de Tubos e Conexões em Aço DN 350  </v>
          </cell>
          <cell r="H1179" t="str">
            <v xml:space="preserve">m     </v>
          </cell>
          <cell r="I1179">
            <v>54</v>
          </cell>
          <cell r="J1179">
            <v>121.8</v>
          </cell>
          <cell r="K1179">
            <v>101.51</v>
          </cell>
          <cell r="L1179">
            <v>6577.2</v>
          </cell>
        </row>
        <row r="1180">
          <cell r="D1180" t="str">
            <v xml:space="preserve">  F.107.            </v>
          </cell>
          <cell r="E1180" t="str">
            <v xml:space="preserve">      </v>
          </cell>
          <cell r="F1180" t="str">
            <v>9.2.</v>
          </cell>
          <cell r="G1180" t="str">
            <v xml:space="preserve">Assentamento de Tubos, peças e Conexões em FoFo  </v>
          </cell>
          <cell r="H1180" t="str">
            <v xml:space="preserve">      </v>
          </cell>
          <cell r="I1180">
            <v>0</v>
          </cell>
          <cell r="J1180">
            <v>0</v>
          </cell>
          <cell r="K1180">
            <v>0</v>
          </cell>
          <cell r="L1180">
            <v>0</v>
          </cell>
        </row>
        <row r="1181">
          <cell r="D1181" t="str">
            <v xml:space="preserve">  F.108.            </v>
          </cell>
          <cell r="E1181" t="str">
            <v>CP1050</v>
          </cell>
          <cell r="F1181" t="str">
            <v>9.2.1.</v>
          </cell>
          <cell r="G1181" t="str">
            <v xml:space="preserve">Assentamento de Tubos, peças e Conexões em FoFo DN 200  </v>
          </cell>
          <cell r="H1181" t="str">
            <v xml:space="preserve">m     </v>
          </cell>
          <cell r="I1181">
            <v>8</v>
          </cell>
          <cell r="J1181">
            <v>10.91</v>
          </cell>
          <cell r="K1181">
            <v>9.16</v>
          </cell>
          <cell r="L1181">
            <v>87.28</v>
          </cell>
        </row>
        <row r="1182">
          <cell r="D1182" t="str">
            <v xml:space="preserve">  F.109.            </v>
          </cell>
          <cell r="E1182" t="str">
            <v>CP0148</v>
          </cell>
          <cell r="F1182" t="str">
            <v>9.3.</v>
          </cell>
          <cell r="G1182" t="str">
            <v xml:space="preserve">Montagem de peças, conexões, equipamentos e aparelhos hidráulicos em ferro fundido  </v>
          </cell>
          <cell r="H1182" t="str">
            <v xml:space="preserve">KG    </v>
          </cell>
          <cell r="I1182">
            <v>13716</v>
          </cell>
          <cell r="J1182">
            <v>1.33</v>
          </cell>
          <cell r="K1182">
            <v>1.1100000000000001</v>
          </cell>
          <cell r="L1182">
            <v>18242.28</v>
          </cell>
        </row>
        <row r="1183">
          <cell r="D1183" t="str">
            <v xml:space="preserve">  F.110.            </v>
          </cell>
          <cell r="E1183" t="str">
            <v>CP0169</v>
          </cell>
          <cell r="F1183" t="str">
            <v>9.4.</v>
          </cell>
          <cell r="G1183" t="str">
            <v xml:space="preserve">Montagem de peças, conexões, equipamentos e aparelhos hidráulicos em aço  </v>
          </cell>
          <cell r="H1183" t="str">
            <v xml:space="preserve">kg    </v>
          </cell>
          <cell r="I1183">
            <v>5564</v>
          </cell>
          <cell r="J1183">
            <v>4.42</v>
          </cell>
          <cell r="K1183">
            <v>3.71</v>
          </cell>
          <cell r="L1183">
            <v>24592.880000000001</v>
          </cell>
        </row>
        <row r="1184">
          <cell r="D1184" t="str">
            <v xml:space="preserve">  F.111.            </v>
          </cell>
          <cell r="E1184" t="str">
            <v xml:space="preserve">      </v>
          </cell>
          <cell r="F1184" t="str">
            <v>10.</v>
          </cell>
          <cell r="G1184" t="str">
            <v xml:space="preserve">Fornecimento de Materiais para Instalações de Processo  </v>
          </cell>
          <cell r="H1184" t="str">
            <v xml:space="preserve">      </v>
          </cell>
          <cell r="I1184">
            <v>0</v>
          </cell>
          <cell r="J1184">
            <v>0</v>
          </cell>
          <cell r="K1184">
            <v>0</v>
          </cell>
          <cell r="L1184">
            <v>0</v>
          </cell>
        </row>
        <row r="1185">
          <cell r="D1185" t="str">
            <v xml:space="preserve">  F.112.            </v>
          </cell>
          <cell r="E1185" t="str">
            <v xml:space="preserve">      </v>
          </cell>
          <cell r="F1185" t="str">
            <v>10.1.</v>
          </cell>
          <cell r="G1185" t="str">
            <v xml:space="preserve">Tubos em aço carbono sem costura, roscável SCHEDULE 40, zincados, MANNESMANN ou similar  </v>
          </cell>
          <cell r="H1185" t="str">
            <v xml:space="preserve">      </v>
          </cell>
          <cell r="I1185">
            <v>0</v>
          </cell>
          <cell r="J1185">
            <v>0</v>
          </cell>
          <cell r="K1185">
            <v>0</v>
          </cell>
          <cell r="L1185">
            <v>0</v>
          </cell>
        </row>
        <row r="1186">
          <cell r="D1186" t="str">
            <v xml:space="preserve">  F.113.            </v>
          </cell>
          <cell r="E1186" t="str">
            <v>CP1892</v>
          </cell>
          <cell r="F1186" t="str">
            <v>10.1.1.</v>
          </cell>
          <cell r="G1186" t="str">
            <v xml:space="preserve">Tubos em aço carbono sem costura, roscável SCHEDULE 40, zincados, MANNESMANN ou similar ø 2  </v>
          </cell>
          <cell r="H1186" t="str">
            <v xml:space="preserve">m     </v>
          </cell>
          <cell r="I1186">
            <v>120</v>
          </cell>
          <cell r="J1186">
            <v>27.54</v>
          </cell>
          <cell r="K1186">
            <v>37.17</v>
          </cell>
          <cell r="L1186">
            <v>3304.8</v>
          </cell>
        </row>
        <row r="1187">
          <cell r="D1187" t="str">
            <v xml:space="preserve">  F.114.            </v>
          </cell>
          <cell r="E1187" t="str">
            <v xml:space="preserve">      </v>
          </cell>
          <cell r="F1187" t="str">
            <v>10.2.</v>
          </cell>
          <cell r="G1187" t="str">
            <v xml:space="preserve">Conexões em ferro maleável, classe 10 zincadas, TUPY ou similar:  </v>
          </cell>
          <cell r="H1187" t="str">
            <v xml:space="preserve">      </v>
          </cell>
          <cell r="I1187">
            <v>0</v>
          </cell>
          <cell r="J1187">
            <v>0</v>
          </cell>
          <cell r="K1187">
            <v>0</v>
          </cell>
          <cell r="L1187">
            <v>0</v>
          </cell>
        </row>
        <row r="1188">
          <cell r="D1188" t="str">
            <v xml:space="preserve">  F.115.            </v>
          </cell>
          <cell r="E1188" t="str">
            <v>CP2060</v>
          </cell>
          <cell r="F1188" t="str">
            <v>10.2.1.</v>
          </cell>
          <cell r="G1188" t="str">
            <v xml:space="preserve">Conexões em ferro maleável, classe 10 zincadas, TUPY ou similar: Cotovelo 90o em ferro maleável ø 2  </v>
          </cell>
          <cell r="H1188" t="str">
            <v xml:space="preserve">pç    </v>
          </cell>
          <cell r="I1188">
            <v>120</v>
          </cell>
          <cell r="J1188">
            <v>19.059999999999999</v>
          </cell>
          <cell r="K1188">
            <v>23.08</v>
          </cell>
          <cell r="L1188">
            <v>2287.1999999999998</v>
          </cell>
        </row>
        <row r="1189">
          <cell r="D1189" t="str">
            <v xml:space="preserve">  F.116.            </v>
          </cell>
          <cell r="E1189" t="str">
            <v xml:space="preserve">      </v>
          </cell>
          <cell r="F1189" t="str">
            <v>10.3.</v>
          </cell>
          <cell r="G1189" t="str">
            <v xml:space="preserve">Tubo em PVC rígido TIGRE ou similar:  </v>
          </cell>
          <cell r="H1189" t="str">
            <v xml:space="preserve">      </v>
          </cell>
          <cell r="I1189">
            <v>0</v>
          </cell>
          <cell r="J1189">
            <v>0</v>
          </cell>
          <cell r="K1189">
            <v>0</v>
          </cell>
          <cell r="L1189">
            <v>0</v>
          </cell>
        </row>
        <row r="1190">
          <cell r="D1190" t="str">
            <v xml:space="preserve">  F.117.            </v>
          </cell>
          <cell r="E1190" t="str">
            <v>CP2279</v>
          </cell>
          <cell r="F1190" t="str">
            <v>10.3.1.</v>
          </cell>
          <cell r="G1190" t="str">
            <v xml:space="preserve">Tubo em PVC rígido TIGRE ou similar: Tubo soldável DN 25  </v>
          </cell>
          <cell r="H1190" t="str">
            <v xml:space="preserve">m     </v>
          </cell>
          <cell r="I1190">
            <v>54</v>
          </cell>
          <cell r="J1190">
            <v>1.71</v>
          </cell>
          <cell r="K1190">
            <v>1.43</v>
          </cell>
          <cell r="L1190">
            <v>92.34</v>
          </cell>
        </row>
        <row r="1191">
          <cell r="D1191" t="str">
            <v xml:space="preserve">  F.118.            </v>
          </cell>
          <cell r="E1191" t="str">
            <v xml:space="preserve">      </v>
          </cell>
          <cell r="F1191" t="str">
            <v>10.4.</v>
          </cell>
          <cell r="G1191" t="str">
            <v xml:space="preserve">Conexões em PVC rígido TIGRE ou similar  </v>
          </cell>
          <cell r="H1191" t="str">
            <v xml:space="preserve">      </v>
          </cell>
          <cell r="I1191">
            <v>0</v>
          </cell>
          <cell r="J1191">
            <v>0</v>
          </cell>
          <cell r="K1191">
            <v>0</v>
          </cell>
          <cell r="L1191">
            <v>0</v>
          </cell>
        </row>
        <row r="1192">
          <cell r="D1192" t="str">
            <v xml:space="preserve">  F.119.            </v>
          </cell>
          <cell r="E1192" t="str">
            <v xml:space="preserve">      </v>
          </cell>
          <cell r="F1192" t="str">
            <v>10.4.1.</v>
          </cell>
          <cell r="G1192" t="str">
            <v xml:space="preserve">Conexões em PVC rígido TIGRE ou similar Joelho 90° soldável  </v>
          </cell>
          <cell r="H1192" t="str">
            <v xml:space="preserve">      </v>
          </cell>
          <cell r="I1192">
            <v>0</v>
          </cell>
          <cell r="J1192">
            <v>0</v>
          </cell>
          <cell r="K1192">
            <v>0</v>
          </cell>
          <cell r="L1192">
            <v>0</v>
          </cell>
        </row>
        <row r="1193">
          <cell r="D1193" t="str">
            <v xml:space="preserve">  F.120.            </v>
          </cell>
          <cell r="E1193" t="str">
            <v>CP0696</v>
          </cell>
          <cell r="F1193" t="str">
            <v>10.4.2.1.</v>
          </cell>
          <cell r="G1193" t="str">
            <v xml:space="preserve">Conexões em PVC rígido TIGRE ou similar Joelho 90° soldável D 25  </v>
          </cell>
          <cell r="H1193" t="str">
            <v xml:space="preserve">pç    </v>
          </cell>
          <cell r="I1193">
            <v>24</v>
          </cell>
          <cell r="J1193">
            <v>0.42</v>
          </cell>
          <cell r="K1193">
            <v>0.35</v>
          </cell>
          <cell r="L1193">
            <v>10.08</v>
          </cell>
        </row>
        <row r="1194">
          <cell r="D1194" t="str">
            <v xml:space="preserve">  F.121.            </v>
          </cell>
          <cell r="E1194" t="str">
            <v>CP1903</v>
          </cell>
          <cell r="F1194" t="str">
            <v>10.4.2.2.</v>
          </cell>
          <cell r="G1194" t="str">
            <v xml:space="preserve">Conexões em PVC rígido TIGRE ou similar Joelho 90° soldável e com rosca D 25  </v>
          </cell>
          <cell r="H1194" t="str">
            <v xml:space="preserve">pç    </v>
          </cell>
          <cell r="I1194">
            <v>24</v>
          </cell>
          <cell r="J1194">
            <v>1.55</v>
          </cell>
          <cell r="K1194">
            <v>1.29</v>
          </cell>
          <cell r="L1194">
            <v>37.200000000000003</v>
          </cell>
        </row>
        <row r="1195">
          <cell r="D1195" t="str">
            <v xml:space="preserve">  F.122.            </v>
          </cell>
          <cell r="E1195" t="str">
            <v xml:space="preserve">      </v>
          </cell>
          <cell r="F1195" t="str">
            <v>10.5.</v>
          </cell>
          <cell r="G1195" t="str">
            <v xml:space="preserve">Conexões em PVC rígido TIGRE ou similar Tê 90° soldável  </v>
          </cell>
          <cell r="H1195" t="str">
            <v xml:space="preserve">      </v>
          </cell>
          <cell r="I1195">
            <v>0</v>
          </cell>
          <cell r="J1195">
            <v>0</v>
          </cell>
          <cell r="K1195">
            <v>0</v>
          </cell>
          <cell r="L1195">
            <v>0</v>
          </cell>
        </row>
        <row r="1196">
          <cell r="D1196" t="str">
            <v xml:space="preserve">  F.123.            </v>
          </cell>
          <cell r="E1196" t="str">
            <v>CP0689</v>
          </cell>
          <cell r="F1196" t="str">
            <v>10.5.1.</v>
          </cell>
          <cell r="G1196" t="str">
            <v xml:space="preserve">Conexões em PVC rígido TIGRE ou similar Tê 90° soldável D 25  </v>
          </cell>
          <cell r="H1196" t="str">
            <v xml:space="preserve">pç    </v>
          </cell>
          <cell r="I1196">
            <v>24</v>
          </cell>
          <cell r="J1196">
            <v>0.65</v>
          </cell>
          <cell r="K1196">
            <v>0.54</v>
          </cell>
          <cell r="L1196">
            <v>15.6</v>
          </cell>
        </row>
        <row r="1197">
          <cell r="D1197" t="str">
            <v xml:space="preserve">  F.124.            </v>
          </cell>
          <cell r="E1197" t="str">
            <v xml:space="preserve">      </v>
          </cell>
          <cell r="F1197" t="str">
            <v>11.</v>
          </cell>
          <cell r="G1197" t="str">
            <v xml:space="preserve">Assentamento de Materiais para Instalações de Processo  </v>
          </cell>
          <cell r="H1197" t="str">
            <v xml:space="preserve">      </v>
          </cell>
          <cell r="I1197">
            <v>0</v>
          </cell>
          <cell r="J1197">
            <v>0</v>
          </cell>
          <cell r="K1197">
            <v>0</v>
          </cell>
          <cell r="L1197">
            <v>0</v>
          </cell>
        </row>
        <row r="1198">
          <cell r="D1198" t="str">
            <v xml:space="preserve">  F.125.            </v>
          </cell>
          <cell r="E1198" t="str">
            <v xml:space="preserve">      </v>
          </cell>
          <cell r="F1198" t="str">
            <v>11.1.</v>
          </cell>
          <cell r="G1198" t="str">
            <v xml:space="preserve">Tubos em aço carbono sem costura, roscável SCHEDULE 40, zincados, MANNESMANN ou similar  </v>
          </cell>
          <cell r="H1198" t="str">
            <v xml:space="preserve">      </v>
          </cell>
          <cell r="I1198">
            <v>0</v>
          </cell>
          <cell r="J1198">
            <v>0</v>
          </cell>
          <cell r="K1198">
            <v>0</v>
          </cell>
          <cell r="L1198">
            <v>0</v>
          </cell>
        </row>
        <row r="1199">
          <cell r="D1199" t="str">
            <v xml:space="preserve">  F.126.            </v>
          </cell>
          <cell r="E1199" t="str">
            <v>CP0494</v>
          </cell>
          <cell r="F1199" t="str">
            <v>11.1.1.</v>
          </cell>
          <cell r="G1199" t="str">
            <v xml:space="preserve">Tubos em aço carbono sem costura, roscável SCHEDULE 40, zincados, MANNESMANN ou similar ø 2  </v>
          </cell>
          <cell r="H1199" t="str">
            <v xml:space="preserve">m     </v>
          </cell>
          <cell r="I1199">
            <v>120</v>
          </cell>
          <cell r="J1199">
            <v>17.7</v>
          </cell>
          <cell r="K1199">
            <v>14.8</v>
          </cell>
          <cell r="L1199">
            <v>2124</v>
          </cell>
        </row>
        <row r="1200">
          <cell r="D1200" t="str">
            <v xml:space="preserve">  F.127.            </v>
          </cell>
          <cell r="E1200" t="str">
            <v xml:space="preserve">      </v>
          </cell>
          <cell r="F1200" t="str">
            <v>12.</v>
          </cell>
          <cell r="G1200" t="str">
            <v xml:space="preserve">Materiais Diversos  </v>
          </cell>
          <cell r="H1200" t="str">
            <v xml:space="preserve">      </v>
          </cell>
          <cell r="I1200">
            <v>0</v>
          </cell>
          <cell r="J1200">
            <v>0</v>
          </cell>
          <cell r="K1200">
            <v>0</v>
          </cell>
          <cell r="L1200">
            <v>0</v>
          </cell>
        </row>
        <row r="1201">
          <cell r="D1201" t="str">
            <v xml:space="preserve">  F.128.            </v>
          </cell>
          <cell r="E1201" t="str">
            <v>CP0359</v>
          </cell>
          <cell r="F1201" t="str">
            <v>12.1.</v>
          </cell>
          <cell r="G1201" t="str">
            <v xml:space="preserve">Remoção de leito filtrante (areia)  </v>
          </cell>
          <cell r="H1201" t="str">
            <v xml:space="preserve">m³    </v>
          </cell>
          <cell r="I1201">
            <v>951</v>
          </cell>
          <cell r="J1201">
            <v>36.270000000000003</v>
          </cell>
          <cell r="K1201">
            <v>36.130000000000003</v>
          </cell>
          <cell r="L1201">
            <v>34492.769999999997</v>
          </cell>
        </row>
        <row r="1202">
          <cell r="D1202" t="str">
            <v xml:space="preserve">  F.129.            </v>
          </cell>
          <cell r="E1202" t="str">
            <v>CP0358</v>
          </cell>
          <cell r="F1202" t="str">
            <v>12.2.</v>
          </cell>
          <cell r="G1202" t="str">
            <v xml:space="preserve">Fornecimento de leito filtrante (areia, tamanho efetivo 0,5 mm e coeficiente de uniformidade 1, 5)  </v>
          </cell>
          <cell r="H1202" t="str">
            <v xml:space="preserve">m³    </v>
          </cell>
          <cell r="I1202">
            <v>352</v>
          </cell>
          <cell r="J1202">
            <v>504.35</v>
          </cell>
          <cell r="K1202">
            <v>644.55999999999995</v>
          </cell>
          <cell r="L1202">
            <v>177531.2</v>
          </cell>
        </row>
        <row r="1203">
          <cell r="D1203" t="str">
            <v xml:space="preserve">  F.130.            </v>
          </cell>
          <cell r="E1203" t="str">
            <v>CP4500</v>
          </cell>
          <cell r="F1203" t="str">
            <v>12.3.</v>
          </cell>
          <cell r="G1203" t="str">
            <v xml:space="preserve">Colocação de leito filtrante (areia, tamanho efetivo 0,5 mm e coeficiente de uniformidade 1,5)  </v>
          </cell>
          <cell r="H1203" t="str">
            <v xml:space="preserve">m³    </v>
          </cell>
          <cell r="I1203">
            <v>352</v>
          </cell>
          <cell r="J1203">
            <v>92.68</v>
          </cell>
          <cell r="K1203">
            <v>97.44</v>
          </cell>
          <cell r="L1203">
            <v>32623.360000000001</v>
          </cell>
        </row>
        <row r="1204">
          <cell r="D1204" t="str">
            <v xml:space="preserve">  F.131.            </v>
          </cell>
          <cell r="E1204" t="str">
            <v>CP0357</v>
          </cell>
          <cell r="F1204" t="str">
            <v>12.4.</v>
          </cell>
          <cell r="G1204" t="str">
            <v xml:space="preserve">Fornecimento de leito filtrante (antracito, tamanho efetivo 1,0 mm e coeficiente de uniformidade 1,4)  </v>
          </cell>
          <cell r="H1204" t="str">
            <v xml:space="preserve">m³    </v>
          </cell>
          <cell r="I1204">
            <v>594</v>
          </cell>
          <cell r="J1204">
            <v>1887.71</v>
          </cell>
          <cell r="K1204">
            <v>1573.57</v>
          </cell>
          <cell r="L1204">
            <v>1121299.74</v>
          </cell>
        </row>
        <row r="1205">
          <cell r="D1205" t="str">
            <v xml:space="preserve">  F.132.            </v>
          </cell>
          <cell r="E1205" t="str">
            <v>CP4501</v>
          </cell>
          <cell r="F1205" t="str">
            <v>12.5.</v>
          </cell>
          <cell r="G1205" t="str">
            <v xml:space="preserve">Colocação de leito filtrante (antracito, tamanho efetivo 1,0 mm e coeficiente de uniformidade 1,4)  </v>
          </cell>
          <cell r="H1205" t="str">
            <v xml:space="preserve">m³    </v>
          </cell>
          <cell r="I1205">
            <v>594</v>
          </cell>
          <cell r="J1205">
            <v>92.68</v>
          </cell>
          <cell r="K1205">
            <v>97.44</v>
          </cell>
          <cell r="L1205">
            <v>55051.92</v>
          </cell>
        </row>
        <row r="1206">
          <cell r="D1206" t="str">
            <v xml:space="preserve">  F.133.            </v>
          </cell>
          <cell r="E1206" t="str">
            <v>CP1244</v>
          </cell>
          <cell r="F1206" t="str">
            <v>12.6.</v>
          </cell>
          <cell r="G1206" t="str">
            <v>Fornecimento e instalação de tubulação especial de aço seção variável 1000 mm X 400mm e 400mm x 400mm, para distribuição de água de lavagem e coleta de água filtrada com 52 T DN 100 acopladas solidamente à tubulação principal, conforme projeto básico (ET-</v>
          </cell>
          <cell r="H1206" t="str">
            <v xml:space="preserve">un    </v>
          </cell>
          <cell r="I1206">
            <v>24</v>
          </cell>
          <cell r="J1206">
            <v>325436.3</v>
          </cell>
          <cell r="K1206">
            <v>272081.82</v>
          </cell>
          <cell r="L1206">
            <v>7810471.2000000002</v>
          </cell>
        </row>
        <row r="1207">
          <cell r="D1207" t="str">
            <v xml:space="preserve">  F.134.            </v>
          </cell>
          <cell r="E1207" t="str">
            <v>CP1822</v>
          </cell>
          <cell r="F1207" t="str">
            <v>12.7.</v>
          </cell>
          <cell r="G1207" t="str">
            <v xml:space="preserve">Remoção da camada suporte  </v>
          </cell>
          <cell r="H1207" t="str">
            <v xml:space="preserve">m³    </v>
          </cell>
          <cell r="I1207">
            <v>555</v>
          </cell>
          <cell r="J1207">
            <v>46.01</v>
          </cell>
          <cell r="K1207">
            <v>51.48</v>
          </cell>
          <cell r="L1207">
            <v>25535.55</v>
          </cell>
        </row>
        <row r="1208">
          <cell r="D1208" t="str">
            <v xml:space="preserve">  F.135.            </v>
          </cell>
          <cell r="E1208" t="str">
            <v>CP1748</v>
          </cell>
          <cell r="F1208" t="str">
            <v>12.8.</v>
          </cell>
          <cell r="G1208" t="str">
            <v xml:space="preserve">Reclassificação e colocação da camada suporte, conforme projeto e norma específica  </v>
          </cell>
          <cell r="H1208" t="str">
            <v xml:space="preserve">m³    </v>
          </cell>
          <cell r="I1208">
            <v>555</v>
          </cell>
          <cell r="J1208">
            <v>103.02</v>
          </cell>
          <cell r="K1208">
            <v>100.01</v>
          </cell>
          <cell r="L1208">
            <v>57176.1</v>
          </cell>
        </row>
        <row r="1209">
          <cell r="D1209" t="str">
            <v xml:space="preserve">  F.136.            </v>
          </cell>
          <cell r="E1209" t="str">
            <v>CP1604</v>
          </cell>
          <cell r="F1209" t="str">
            <v>12.9.</v>
          </cell>
          <cell r="G1209" t="str">
            <v xml:space="preserve">Fornecimento e colocação de camada suporte, conforme projeto e normas específicas  </v>
          </cell>
          <cell r="H1209" t="str">
            <v xml:space="preserve">m³    </v>
          </cell>
          <cell r="I1209">
            <v>111</v>
          </cell>
          <cell r="J1209">
            <v>703.06</v>
          </cell>
          <cell r="K1209">
            <v>644.55999999999995</v>
          </cell>
          <cell r="L1209">
            <v>78039.66</v>
          </cell>
        </row>
        <row r="1210">
          <cell r="D1210" t="str">
            <v xml:space="preserve">  G.  1.            </v>
          </cell>
          <cell r="E1210" t="str">
            <v xml:space="preserve">      </v>
          </cell>
          <cell r="F1210" t="str">
            <v>0.VII.</v>
          </cell>
          <cell r="G1210" t="str">
            <v xml:space="preserve">PRÉDIO DE DESIDRATAÇÃO DE LODO  </v>
          </cell>
          <cell r="H1210" t="str">
            <v xml:space="preserve">      </v>
          </cell>
          <cell r="I1210">
            <v>0</v>
          </cell>
          <cell r="J1210">
            <v>0</v>
          </cell>
          <cell r="K1210">
            <v>0</v>
          </cell>
          <cell r="L1210">
            <v>0</v>
          </cell>
        </row>
        <row r="1211">
          <cell r="D1211" t="str">
            <v xml:space="preserve">  G.  2.            </v>
          </cell>
          <cell r="E1211" t="str">
            <v xml:space="preserve">      </v>
          </cell>
          <cell r="F1211" t="str">
            <v>1.</v>
          </cell>
          <cell r="G1211" t="str">
            <v xml:space="preserve">Serviços Preliminares  </v>
          </cell>
          <cell r="H1211" t="str">
            <v xml:space="preserve">      </v>
          </cell>
          <cell r="I1211">
            <v>0</v>
          </cell>
          <cell r="J1211">
            <v>0</v>
          </cell>
          <cell r="K1211">
            <v>0</v>
          </cell>
          <cell r="L1211">
            <v>0</v>
          </cell>
        </row>
        <row r="1212">
          <cell r="D1212" t="str">
            <v xml:space="preserve">  G.  3.            </v>
          </cell>
          <cell r="E1212" t="str">
            <v>CP1163</v>
          </cell>
          <cell r="F1212" t="str">
            <v>1.1.</v>
          </cell>
          <cell r="G1212" t="str">
            <v xml:space="preserve">Locacão da obra de edificação com execução de gabarito  </v>
          </cell>
          <cell r="H1212" t="str">
            <v xml:space="preserve">m2    </v>
          </cell>
          <cell r="I1212">
            <v>190</v>
          </cell>
          <cell r="J1212">
            <v>4.3099999999999996</v>
          </cell>
          <cell r="K1212">
            <v>3.61</v>
          </cell>
          <cell r="L1212">
            <v>818.9</v>
          </cell>
        </row>
        <row r="1213">
          <cell r="D1213" t="str">
            <v xml:space="preserve">  G.  4.            </v>
          </cell>
          <cell r="E1213" t="str">
            <v>CP1152</v>
          </cell>
          <cell r="F1213" t="str">
            <v>1.2.</v>
          </cell>
          <cell r="G1213" t="str">
            <v xml:space="preserve">Limpeza mecânica do terreno  </v>
          </cell>
          <cell r="H1213" t="str">
            <v xml:space="preserve">m2    </v>
          </cell>
          <cell r="I1213">
            <v>190</v>
          </cell>
          <cell r="J1213">
            <v>0.55000000000000004</v>
          </cell>
          <cell r="K1213">
            <v>0.46</v>
          </cell>
          <cell r="L1213">
            <v>104.5</v>
          </cell>
        </row>
        <row r="1214">
          <cell r="D1214" t="str">
            <v xml:space="preserve">  G.  5.            </v>
          </cell>
          <cell r="E1214" t="str">
            <v xml:space="preserve">      </v>
          </cell>
          <cell r="F1214" t="str">
            <v>2.</v>
          </cell>
          <cell r="G1214" t="str">
            <v xml:space="preserve">Movimento de Terra  </v>
          </cell>
          <cell r="H1214" t="str">
            <v xml:space="preserve">      </v>
          </cell>
          <cell r="I1214">
            <v>0</v>
          </cell>
          <cell r="J1214">
            <v>0</v>
          </cell>
          <cell r="K1214">
            <v>0</v>
          </cell>
          <cell r="L1214">
            <v>0</v>
          </cell>
        </row>
        <row r="1215">
          <cell r="D1215" t="str">
            <v xml:space="preserve">  G.  6.            </v>
          </cell>
          <cell r="E1215" t="str">
            <v>CP1141</v>
          </cell>
          <cell r="F1215" t="str">
            <v>2.1.</v>
          </cell>
          <cell r="G1215" t="str">
            <v xml:space="preserve">Escavação mecânica em áreas solo de qualquer natureza exceto rocha, inclusive carga e descarga  </v>
          </cell>
          <cell r="H1215" t="str">
            <v xml:space="preserve">m³    </v>
          </cell>
          <cell r="I1215">
            <v>120</v>
          </cell>
          <cell r="J1215">
            <v>3.89</v>
          </cell>
          <cell r="K1215">
            <v>5.55</v>
          </cell>
          <cell r="L1215">
            <v>466.8</v>
          </cell>
        </row>
        <row r="1216">
          <cell r="D1216" t="str">
            <v xml:space="preserve">  G.  7.            </v>
          </cell>
          <cell r="E1216" t="str">
            <v>CP1109</v>
          </cell>
          <cell r="F1216" t="str">
            <v>2.2.</v>
          </cell>
          <cell r="G1216" t="str">
            <v xml:space="preserve">Extração de rocha a frio em valas  </v>
          </cell>
          <cell r="H1216" t="str">
            <v xml:space="preserve">m³    </v>
          </cell>
          <cell r="I1216">
            <v>8</v>
          </cell>
          <cell r="J1216">
            <v>302.83999999999997</v>
          </cell>
          <cell r="K1216">
            <v>432.63</v>
          </cell>
          <cell r="L1216">
            <v>2422.7199999999998</v>
          </cell>
        </row>
        <row r="1217">
          <cell r="D1217" t="str">
            <v xml:space="preserve">  G.  8.            </v>
          </cell>
          <cell r="E1217" t="str">
            <v>CP1131</v>
          </cell>
          <cell r="F1217" t="str">
            <v>2.3.</v>
          </cell>
          <cell r="G1217" t="str">
            <v xml:space="preserve">Escavação manual material de 1ª categoria prof. até 1,50m  </v>
          </cell>
          <cell r="H1217" t="str">
            <v xml:space="preserve">m³    </v>
          </cell>
          <cell r="I1217">
            <v>15</v>
          </cell>
          <cell r="J1217">
            <v>20.89</v>
          </cell>
          <cell r="K1217">
            <v>19.02</v>
          </cell>
          <cell r="L1217">
            <v>313.35000000000002</v>
          </cell>
        </row>
        <row r="1218">
          <cell r="D1218" t="str">
            <v xml:space="preserve">  G.  9.            </v>
          </cell>
          <cell r="E1218" t="str">
            <v>CP1122</v>
          </cell>
          <cell r="F1218" t="str">
            <v>2.4.</v>
          </cell>
          <cell r="G1218" t="str">
            <v xml:space="preserve">Escavação manual material de 1ª categoria prof. 1,50 m até 3,00m  </v>
          </cell>
          <cell r="H1218" t="str">
            <v xml:space="preserve">m³    </v>
          </cell>
          <cell r="I1218">
            <v>15</v>
          </cell>
          <cell r="J1218">
            <v>25.56</v>
          </cell>
          <cell r="K1218">
            <v>26.63</v>
          </cell>
          <cell r="L1218">
            <v>383.4</v>
          </cell>
        </row>
        <row r="1219">
          <cell r="D1219" t="str">
            <v xml:space="preserve">  G. 10.            </v>
          </cell>
          <cell r="E1219" t="str">
            <v>CP1085</v>
          </cell>
          <cell r="F1219" t="str">
            <v>2.5.</v>
          </cell>
          <cell r="G1219" t="str">
            <v xml:space="preserve">Carga mecânica de material em caminhão basculante  </v>
          </cell>
          <cell r="H1219" t="str">
            <v xml:space="preserve">m³    </v>
          </cell>
          <cell r="I1219">
            <v>205</v>
          </cell>
          <cell r="J1219">
            <v>1.23</v>
          </cell>
          <cell r="K1219">
            <v>1.74</v>
          </cell>
          <cell r="L1219">
            <v>252.15</v>
          </cell>
        </row>
        <row r="1220">
          <cell r="D1220" t="str">
            <v xml:space="preserve">  G. 11.            </v>
          </cell>
          <cell r="E1220" t="str">
            <v>CP1070</v>
          </cell>
          <cell r="F1220" t="str">
            <v>2.6.</v>
          </cell>
          <cell r="G1220" t="str">
            <v xml:space="preserve">Transporte mecânico de material em caminhão basculante  </v>
          </cell>
          <cell r="H1220" t="str">
            <v xml:space="preserve">m³xkm </v>
          </cell>
          <cell r="I1220">
            <v>2050</v>
          </cell>
          <cell r="J1220">
            <v>2.38</v>
          </cell>
          <cell r="K1220">
            <v>2.35</v>
          </cell>
          <cell r="L1220">
            <v>4879</v>
          </cell>
        </row>
        <row r="1221">
          <cell r="D1221" t="str">
            <v xml:space="preserve">  G. 12.            </v>
          </cell>
          <cell r="E1221" t="str">
            <v xml:space="preserve">      </v>
          </cell>
          <cell r="F1221" t="str">
            <v>3.</v>
          </cell>
          <cell r="G1221" t="str">
            <v xml:space="preserve">Estruturas de Concreto (incluindo obras diversas)  </v>
          </cell>
          <cell r="H1221" t="str">
            <v xml:space="preserve">      </v>
          </cell>
          <cell r="I1221">
            <v>0</v>
          </cell>
          <cell r="J1221">
            <v>0</v>
          </cell>
          <cell r="K1221">
            <v>0</v>
          </cell>
          <cell r="L1221">
            <v>0</v>
          </cell>
        </row>
        <row r="1222">
          <cell r="D1222" t="str">
            <v xml:space="preserve">  G. 13.            </v>
          </cell>
          <cell r="E1222" t="str">
            <v xml:space="preserve">      </v>
          </cell>
          <cell r="F1222" t="str">
            <v>3.1.</v>
          </cell>
          <cell r="G1222" t="str">
            <v xml:space="preserve">Escavação e concretagem de tubulões mecanizados  </v>
          </cell>
          <cell r="H1222" t="str">
            <v xml:space="preserve">      </v>
          </cell>
          <cell r="I1222">
            <v>0</v>
          </cell>
          <cell r="J1222">
            <v>0</v>
          </cell>
          <cell r="K1222">
            <v>0</v>
          </cell>
          <cell r="L1222">
            <v>0</v>
          </cell>
        </row>
        <row r="1223">
          <cell r="D1223" t="str">
            <v xml:space="preserve">  G. 14.            </v>
          </cell>
          <cell r="E1223" t="str">
            <v>CP0088</v>
          </cell>
          <cell r="F1223" t="str">
            <v>3.1.1.</v>
          </cell>
          <cell r="G1223" t="str">
            <v xml:space="preserve">Escavação e concretagem de tubulões mecanizados D = 30 cm  </v>
          </cell>
          <cell r="H1223" t="str">
            <v xml:space="preserve">m     </v>
          </cell>
          <cell r="I1223">
            <v>280</v>
          </cell>
          <cell r="J1223">
            <v>80.77</v>
          </cell>
          <cell r="K1223">
            <v>81.42</v>
          </cell>
          <cell r="L1223">
            <v>22615.599999999999</v>
          </cell>
        </row>
        <row r="1224">
          <cell r="D1224" t="str">
            <v xml:space="preserve">  G. 15.            </v>
          </cell>
          <cell r="E1224" t="str">
            <v>CP0083</v>
          </cell>
          <cell r="F1224" t="str">
            <v>3.1.2.</v>
          </cell>
          <cell r="G1224" t="str">
            <v xml:space="preserve">Escavação e concretagem de tubulões mecanizados D = 35 cm  </v>
          </cell>
          <cell r="H1224" t="str">
            <v xml:space="preserve">m     </v>
          </cell>
          <cell r="I1224">
            <v>75</v>
          </cell>
          <cell r="J1224">
            <v>96.36</v>
          </cell>
          <cell r="K1224">
            <v>92.04</v>
          </cell>
          <cell r="L1224">
            <v>7227</v>
          </cell>
        </row>
        <row r="1225">
          <cell r="D1225" t="str">
            <v xml:space="preserve">  G. 16.            </v>
          </cell>
          <cell r="E1225" t="str">
            <v>CP0079</v>
          </cell>
          <cell r="F1225" t="str">
            <v>3.1.3.</v>
          </cell>
          <cell r="G1225" t="str">
            <v xml:space="preserve">Escavação e concretagem de tubulões mecanizados D = 45 cm  </v>
          </cell>
          <cell r="H1225" t="str">
            <v xml:space="preserve">m     </v>
          </cell>
          <cell r="I1225">
            <v>52</v>
          </cell>
          <cell r="J1225">
            <v>136.49</v>
          </cell>
          <cell r="K1225">
            <v>115.23</v>
          </cell>
          <cell r="L1225">
            <v>7097.48</v>
          </cell>
        </row>
        <row r="1226">
          <cell r="D1226" t="str">
            <v xml:space="preserve">  G. 17.            </v>
          </cell>
          <cell r="E1226" t="str">
            <v>CP0061</v>
          </cell>
          <cell r="F1226" t="str">
            <v>3.2.</v>
          </cell>
          <cell r="G1226" t="str">
            <v xml:space="preserve">Formas planas para estruturas em chapa de madeira plastificada - 02 reaproveitamentos, inclusive desforma  </v>
          </cell>
          <cell r="H1226" t="str">
            <v xml:space="preserve">m²    </v>
          </cell>
          <cell r="I1226">
            <v>894</v>
          </cell>
          <cell r="J1226">
            <v>87.97</v>
          </cell>
          <cell r="K1226">
            <v>73.349999999999994</v>
          </cell>
          <cell r="L1226">
            <v>78645.179999999993</v>
          </cell>
        </row>
        <row r="1227">
          <cell r="D1227" t="str">
            <v xml:space="preserve">  G. 18.            </v>
          </cell>
          <cell r="E1227" t="str">
            <v>CP1056</v>
          </cell>
          <cell r="F1227" t="str">
            <v>3.3.</v>
          </cell>
          <cell r="G1227" t="str">
            <v xml:space="preserve">Armadura de aço CA-50, com fornecimento do material Corte e dobra  </v>
          </cell>
          <cell r="H1227" t="str">
            <v xml:space="preserve">kg    </v>
          </cell>
          <cell r="I1227">
            <v>7200</v>
          </cell>
          <cell r="J1227">
            <v>6.9</v>
          </cell>
          <cell r="K1227">
            <v>5.78</v>
          </cell>
          <cell r="L1227">
            <v>49680</v>
          </cell>
        </row>
        <row r="1228">
          <cell r="D1228" t="str">
            <v xml:space="preserve">  G. 19.            </v>
          </cell>
          <cell r="E1228" t="str">
            <v>CP0098</v>
          </cell>
          <cell r="F1228" t="str">
            <v>3.4.</v>
          </cell>
          <cell r="G1228" t="str">
            <v xml:space="preserve">Fornecimento e lançamento de concreto usinado bombeado fck = 15 MPA  </v>
          </cell>
          <cell r="H1228" t="str">
            <v xml:space="preserve">m³    </v>
          </cell>
          <cell r="I1228">
            <v>153</v>
          </cell>
          <cell r="J1228">
            <v>338.63</v>
          </cell>
          <cell r="K1228">
            <v>282.86</v>
          </cell>
          <cell r="L1228">
            <v>51810.39</v>
          </cell>
        </row>
        <row r="1229">
          <cell r="D1229" t="str">
            <v xml:space="preserve">  G. 20.            </v>
          </cell>
          <cell r="E1229" t="str">
            <v>CP0052</v>
          </cell>
          <cell r="F1229" t="str">
            <v>3.5.</v>
          </cell>
          <cell r="G1229" t="str">
            <v xml:space="preserve">Preparo e lançamento de concreto simples mínimo de 150 kg cimento/m³  </v>
          </cell>
          <cell r="H1229" t="str">
            <v xml:space="preserve">m³    </v>
          </cell>
          <cell r="I1229">
            <v>8</v>
          </cell>
          <cell r="J1229">
            <v>284.95</v>
          </cell>
          <cell r="K1229">
            <v>237.1</v>
          </cell>
          <cell r="L1229">
            <v>2279.6</v>
          </cell>
        </row>
        <row r="1230">
          <cell r="D1230" t="str">
            <v xml:space="preserve">  G. 21.            </v>
          </cell>
          <cell r="E1230" t="str">
            <v xml:space="preserve">      </v>
          </cell>
          <cell r="F1230" t="str">
            <v>4.</v>
          </cell>
          <cell r="G1230" t="str">
            <v xml:space="preserve">Fornecimento de Equipamentos Hidráulicos, Mecânicos e Eletromecânicos, conforme Especificações Técnicas, relativas a cada Equipamento  </v>
          </cell>
          <cell r="H1230" t="str">
            <v xml:space="preserve">      </v>
          </cell>
          <cell r="I1230">
            <v>0</v>
          </cell>
          <cell r="J1230">
            <v>0</v>
          </cell>
          <cell r="K1230">
            <v>0</v>
          </cell>
          <cell r="L1230">
            <v>0</v>
          </cell>
        </row>
        <row r="1231">
          <cell r="D1231" t="str">
            <v xml:space="preserve">  G. 22.            </v>
          </cell>
          <cell r="E1231" t="str">
            <v>CP1192</v>
          </cell>
          <cell r="F1231" t="str">
            <v>4.1.</v>
          </cell>
          <cell r="G1231" t="str">
            <v xml:space="preserve">Dosador e dissolvedor de polímero  </v>
          </cell>
          <cell r="H1231" t="str">
            <v xml:space="preserve">un    </v>
          </cell>
          <cell r="I1231">
            <v>2</v>
          </cell>
          <cell r="J1231">
            <v>257455.61</v>
          </cell>
          <cell r="K1231">
            <v>358481.52</v>
          </cell>
          <cell r="L1231">
            <v>514911.22</v>
          </cell>
        </row>
        <row r="1232">
          <cell r="D1232" t="str">
            <v xml:space="preserve">  G. 23.            </v>
          </cell>
          <cell r="E1232" t="str">
            <v>CP1180</v>
          </cell>
          <cell r="F1232" t="str">
            <v>4.2.</v>
          </cell>
          <cell r="G1232" t="str">
            <v xml:space="preserve">Decantador centrífugo  </v>
          </cell>
          <cell r="H1232" t="str">
            <v xml:space="preserve">un    </v>
          </cell>
          <cell r="I1232">
            <v>2</v>
          </cell>
          <cell r="J1232">
            <v>471310.76</v>
          </cell>
          <cell r="K1232">
            <v>392791.37</v>
          </cell>
          <cell r="L1232">
            <v>942621.52</v>
          </cell>
        </row>
        <row r="1233">
          <cell r="D1233" t="str">
            <v xml:space="preserve">  G. 24.            </v>
          </cell>
          <cell r="E1233" t="str">
            <v>CP1300</v>
          </cell>
          <cell r="F1233" t="str">
            <v>4.3.</v>
          </cell>
          <cell r="G1233" t="str">
            <v xml:space="preserve">Caçambas com rodas  </v>
          </cell>
          <cell r="H1233" t="str">
            <v xml:space="preserve">un    </v>
          </cell>
          <cell r="I1233">
            <v>3</v>
          </cell>
          <cell r="J1233">
            <v>5734.98</v>
          </cell>
          <cell r="K1233">
            <v>6073.6</v>
          </cell>
          <cell r="L1233">
            <v>17204.939999999999</v>
          </cell>
        </row>
        <row r="1234">
          <cell r="D1234" t="str">
            <v xml:space="preserve">  G. 25.            </v>
          </cell>
          <cell r="E1234" t="str">
            <v>CP1234</v>
          </cell>
          <cell r="F1234" t="str">
            <v>4.4.</v>
          </cell>
          <cell r="G1234" t="str">
            <v xml:space="preserve">Talha Elétrica capacidade 3 t  </v>
          </cell>
          <cell r="H1234" t="str">
            <v xml:space="preserve">un    </v>
          </cell>
          <cell r="I1234">
            <v>1</v>
          </cell>
          <cell r="J1234">
            <v>66364.289999999994</v>
          </cell>
          <cell r="K1234">
            <v>94806.13</v>
          </cell>
          <cell r="L1234">
            <v>66364.289999999994</v>
          </cell>
        </row>
        <row r="1235">
          <cell r="D1235" t="str">
            <v xml:space="preserve">  G. 26.            </v>
          </cell>
          <cell r="E1235" t="str">
            <v xml:space="preserve">      </v>
          </cell>
          <cell r="F1235" t="str">
            <v>5.</v>
          </cell>
          <cell r="G1235" t="str">
            <v xml:space="preserve">Montagem de Equipamentos Hidráulicos, Mecânicos e Eletromecânicos, conforme Especificações Técnicas, Relativas a cada Equipamento  </v>
          </cell>
          <cell r="H1235" t="str">
            <v xml:space="preserve">      </v>
          </cell>
          <cell r="I1235">
            <v>0</v>
          </cell>
          <cell r="J1235">
            <v>0</v>
          </cell>
          <cell r="K1235">
            <v>0</v>
          </cell>
          <cell r="L1235">
            <v>0</v>
          </cell>
        </row>
        <row r="1236">
          <cell r="D1236" t="str">
            <v xml:space="preserve">  G. 27.            </v>
          </cell>
          <cell r="E1236" t="str">
            <v>CP0360</v>
          </cell>
          <cell r="F1236" t="str">
            <v>5.1.</v>
          </cell>
          <cell r="G1236" t="str">
            <v xml:space="preserve">Dosador e dissolvedor de polímero, inclusive treinamento dos técnicos da CAESB  </v>
          </cell>
          <cell r="H1236" t="str">
            <v xml:space="preserve">un    </v>
          </cell>
          <cell r="I1236">
            <v>2</v>
          </cell>
          <cell r="J1236">
            <v>8975.9599999999991</v>
          </cell>
          <cell r="K1236">
            <v>7540.45</v>
          </cell>
          <cell r="L1236">
            <v>17951.919999999998</v>
          </cell>
        </row>
        <row r="1237">
          <cell r="D1237" t="str">
            <v xml:space="preserve">  G. 28.            </v>
          </cell>
          <cell r="E1237" t="str">
            <v>CP0318</v>
          </cell>
          <cell r="F1237" t="str">
            <v>5.2.</v>
          </cell>
          <cell r="G1237" t="str">
            <v xml:space="preserve">Decantador centrífugo, inclusive treinamento dos técnicos da CAESB  </v>
          </cell>
          <cell r="H1237" t="str">
            <v xml:space="preserve">un    </v>
          </cell>
          <cell r="I1237">
            <v>2</v>
          </cell>
          <cell r="J1237">
            <v>20447.150000000001</v>
          </cell>
          <cell r="K1237">
            <v>17379.23</v>
          </cell>
          <cell r="L1237">
            <v>40894.300000000003</v>
          </cell>
        </row>
        <row r="1238">
          <cell r="D1238" t="str">
            <v xml:space="preserve">  G. 29.            </v>
          </cell>
          <cell r="E1238" t="str">
            <v>CP0192</v>
          </cell>
          <cell r="F1238" t="str">
            <v>5.4.</v>
          </cell>
          <cell r="G1238" t="str">
            <v xml:space="preserve">Talha Elétrica capacidade 3 t  </v>
          </cell>
          <cell r="H1238" t="str">
            <v xml:space="preserve">un    </v>
          </cell>
          <cell r="I1238">
            <v>1</v>
          </cell>
          <cell r="J1238">
            <v>3626.47</v>
          </cell>
          <cell r="K1238">
            <v>3437.01</v>
          </cell>
          <cell r="L1238">
            <v>3626.47</v>
          </cell>
        </row>
        <row r="1239">
          <cell r="D1239" t="str">
            <v xml:space="preserve">  G. 30.            </v>
          </cell>
          <cell r="E1239" t="str">
            <v xml:space="preserve">      </v>
          </cell>
          <cell r="F1239" t="str">
            <v>6.</v>
          </cell>
          <cell r="G1239" t="str">
            <v xml:space="preserve">Instalações Hidráulico-Sanitárias  </v>
          </cell>
          <cell r="H1239" t="str">
            <v xml:space="preserve">      </v>
          </cell>
          <cell r="I1239">
            <v>0</v>
          </cell>
          <cell r="J1239">
            <v>0</v>
          </cell>
          <cell r="K1239">
            <v>0</v>
          </cell>
          <cell r="L1239">
            <v>0</v>
          </cell>
        </row>
        <row r="1240">
          <cell r="D1240" t="str">
            <v xml:space="preserve">  G. 31.            </v>
          </cell>
          <cell r="E1240" t="str">
            <v xml:space="preserve">      </v>
          </cell>
          <cell r="F1240" t="str">
            <v>6.1.</v>
          </cell>
          <cell r="G1240" t="str">
            <v xml:space="preserve">Fornecimento de Tubos, Peças, Conexões e Aparelhos Hidráulicos  </v>
          </cell>
          <cell r="H1240" t="str">
            <v xml:space="preserve">      </v>
          </cell>
          <cell r="I1240">
            <v>0</v>
          </cell>
          <cell r="J1240">
            <v>0</v>
          </cell>
          <cell r="K1240">
            <v>0</v>
          </cell>
          <cell r="L1240">
            <v>0</v>
          </cell>
        </row>
        <row r="1241">
          <cell r="D1241" t="str">
            <v xml:space="preserve">  G. 32.            </v>
          </cell>
          <cell r="E1241" t="str">
            <v xml:space="preserve">      </v>
          </cell>
          <cell r="F1241" t="str">
            <v>6.1.1.</v>
          </cell>
          <cell r="G1241" t="str">
            <v xml:space="preserve">PVC - ESGOTO  </v>
          </cell>
          <cell r="H1241" t="str">
            <v xml:space="preserve">      </v>
          </cell>
          <cell r="I1241">
            <v>0</v>
          </cell>
          <cell r="J1241">
            <v>0</v>
          </cell>
          <cell r="K1241">
            <v>0</v>
          </cell>
          <cell r="L1241">
            <v>0</v>
          </cell>
        </row>
        <row r="1242">
          <cell r="D1242" t="str">
            <v xml:space="preserve">  G. 33.            </v>
          </cell>
          <cell r="E1242" t="str">
            <v xml:space="preserve">      </v>
          </cell>
          <cell r="F1242" t="str">
            <v>6.1.1.1.</v>
          </cell>
          <cell r="G1242" t="str">
            <v xml:space="preserve">Tubo de PVC branco para esgoto:  </v>
          </cell>
          <cell r="H1242" t="str">
            <v xml:space="preserve">      </v>
          </cell>
          <cell r="I1242">
            <v>0</v>
          </cell>
          <cell r="J1242">
            <v>0</v>
          </cell>
          <cell r="K1242">
            <v>0</v>
          </cell>
          <cell r="L1242">
            <v>0</v>
          </cell>
        </row>
        <row r="1243">
          <cell r="D1243" t="str">
            <v xml:space="preserve">  G. 34.            </v>
          </cell>
          <cell r="E1243" t="str">
            <v>CP0665</v>
          </cell>
          <cell r="F1243" t="str">
            <v>6.1.1.1.1</v>
          </cell>
          <cell r="G1243" t="str">
            <v xml:space="preserve">Tubo de PVC branco para esgoto: DN 100  </v>
          </cell>
          <cell r="H1243" t="str">
            <v xml:space="preserve">m     </v>
          </cell>
          <cell r="I1243">
            <v>192</v>
          </cell>
          <cell r="J1243">
            <v>7.77</v>
          </cell>
          <cell r="K1243">
            <v>6.48</v>
          </cell>
          <cell r="L1243">
            <v>1491.84</v>
          </cell>
        </row>
        <row r="1244">
          <cell r="D1244" t="str">
            <v xml:space="preserve">  G. 35.            </v>
          </cell>
          <cell r="E1244" t="str">
            <v>CP0674</v>
          </cell>
          <cell r="F1244" t="str">
            <v>6.1.1.1.2</v>
          </cell>
          <cell r="G1244" t="str">
            <v xml:space="preserve">Tubo de PVC branco para esgoto: DN 50  </v>
          </cell>
          <cell r="H1244" t="str">
            <v xml:space="preserve">m     </v>
          </cell>
          <cell r="I1244">
            <v>12</v>
          </cell>
          <cell r="J1244">
            <v>3.36</v>
          </cell>
          <cell r="K1244">
            <v>2.82</v>
          </cell>
          <cell r="L1244">
            <v>40.32</v>
          </cell>
        </row>
        <row r="1245">
          <cell r="D1245" t="str">
            <v xml:space="preserve">  G. 36.            </v>
          </cell>
          <cell r="E1245" t="str">
            <v>CP0678</v>
          </cell>
          <cell r="F1245" t="str">
            <v>6.1.1.1.3</v>
          </cell>
          <cell r="G1245" t="str">
            <v xml:space="preserve">Tubo de PVC branco para esgoto: DN 40  </v>
          </cell>
          <cell r="H1245" t="str">
            <v xml:space="preserve">m     </v>
          </cell>
          <cell r="I1245">
            <v>12</v>
          </cell>
          <cell r="J1245">
            <v>2.13</v>
          </cell>
          <cell r="K1245">
            <v>1.78</v>
          </cell>
          <cell r="L1245">
            <v>25.56</v>
          </cell>
        </row>
        <row r="1246">
          <cell r="D1246" t="str">
            <v xml:space="preserve">  G. 37.            </v>
          </cell>
          <cell r="E1246" t="str">
            <v xml:space="preserve">      </v>
          </cell>
          <cell r="F1246" t="str">
            <v>6.1.1.2.</v>
          </cell>
          <cell r="G1246" t="str">
            <v xml:space="preserve">Joelho PVC branco para esgoto  </v>
          </cell>
          <cell r="H1246" t="str">
            <v xml:space="preserve">      </v>
          </cell>
          <cell r="I1246">
            <v>0</v>
          </cell>
          <cell r="J1246">
            <v>0</v>
          </cell>
          <cell r="K1246">
            <v>0</v>
          </cell>
          <cell r="L1246">
            <v>0</v>
          </cell>
        </row>
        <row r="1247">
          <cell r="D1247" t="str">
            <v xml:space="preserve">  G. 38.            </v>
          </cell>
          <cell r="E1247" t="str">
            <v>CP0648</v>
          </cell>
          <cell r="F1247" t="str">
            <v>6.1.1.2.1</v>
          </cell>
          <cell r="G1247" t="str">
            <v xml:space="preserve">Joelho PVC branco para esgoto DN 100  </v>
          </cell>
          <cell r="H1247" t="str">
            <v xml:space="preserve">pç    </v>
          </cell>
          <cell r="I1247">
            <v>18</v>
          </cell>
          <cell r="J1247">
            <v>4.3499999999999996</v>
          </cell>
          <cell r="K1247">
            <v>3.64</v>
          </cell>
          <cell r="L1247">
            <v>78.3</v>
          </cell>
        </row>
        <row r="1248">
          <cell r="D1248" t="str">
            <v xml:space="preserve">  G. 39.            </v>
          </cell>
          <cell r="E1248" t="str">
            <v>CP0656</v>
          </cell>
          <cell r="F1248" t="str">
            <v>6.1.1.2.2</v>
          </cell>
          <cell r="G1248" t="str">
            <v xml:space="preserve">Joelho PVC branco para esgoto DN 50  </v>
          </cell>
          <cell r="H1248" t="str">
            <v xml:space="preserve">pç    </v>
          </cell>
          <cell r="I1248">
            <v>2</v>
          </cell>
          <cell r="J1248">
            <v>2.4500000000000002</v>
          </cell>
          <cell r="K1248">
            <v>3.5</v>
          </cell>
          <cell r="L1248">
            <v>4.9000000000000004</v>
          </cell>
        </row>
        <row r="1249">
          <cell r="D1249" t="str">
            <v xml:space="preserve">  G. 40.            </v>
          </cell>
          <cell r="E1249" t="str">
            <v>CP0659</v>
          </cell>
          <cell r="F1249" t="str">
            <v>6.1.1.2.3</v>
          </cell>
          <cell r="G1249" t="str">
            <v xml:space="preserve">Joelho PVC branco para esgoto DN 40  </v>
          </cell>
          <cell r="H1249" t="str">
            <v xml:space="preserve">pç    </v>
          </cell>
          <cell r="I1249">
            <v>4</v>
          </cell>
          <cell r="J1249">
            <v>1.03</v>
          </cell>
          <cell r="K1249">
            <v>1.06</v>
          </cell>
          <cell r="L1249">
            <v>4.12</v>
          </cell>
        </row>
        <row r="1250">
          <cell r="D1250" t="str">
            <v xml:space="preserve">  G. 41.            </v>
          </cell>
          <cell r="E1250" t="str">
            <v xml:space="preserve">      </v>
          </cell>
          <cell r="F1250" t="str">
            <v>6.1.1.3.</v>
          </cell>
          <cell r="G1250" t="str">
            <v xml:space="preserve">PVC - ESGOTO Joelho 45o  </v>
          </cell>
          <cell r="H1250" t="str">
            <v xml:space="preserve">      </v>
          </cell>
          <cell r="I1250">
            <v>0</v>
          </cell>
          <cell r="J1250">
            <v>0</v>
          </cell>
          <cell r="K1250">
            <v>0</v>
          </cell>
          <cell r="L1250">
            <v>0</v>
          </cell>
        </row>
        <row r="1251">
          <cell r="D1251" t="str">
            <v xml:space="preserve">  G. 42.            </v>
          </cell>
          <cell r="E1251" t="str">
            <v>CP2214</v>
          </cell>
          <cell r="F1251" t="str">
            <v>6.1.1.3.1</v>
          </cell>
          <cell r="G1251" t="str">
            <v xml:space="preserve">PVC - ESGOTO Joelho 45o DN 100  </v>
          </cell>
          <cell r="H1251" t="str">
            <v xml:space="preserve">pç    </v>
          </cell>
          <cell r="I1251">
            <v>3</v>
          </cell>
          <cell r="J1251">
            <v>4.83</v>
          </cell>
          <cell r="K1251">
            <v>5.83</v>
          </cell>
          <cell r="L1251">
            <v>14.49</v>
          </cell>
        </row>
        <row r="1252">
          <cell r="D1252" t="str">
            <v xml:space="preserve">  G. 43.            </v>
          </cell>
          <cell r="E1252" t="str">
            <v>CP2282</v>
          </cell>
          <cell r="F1252" t="str">
            <v>6.1.1.3.2</v>
          </cell>
          <cell r="G1252" t="str">
            <v xml:space="preserve">PVC - ESGOTO Joelho 45o DN 50  </v>
          </cell>
          <cell r="H1252" t="str">
            <v xml:space="preserve">pç    </v>
          </cell>
          <cell r="I1252">
            <v>2</v>
          </cell>
          <cell r="J1252">
            <v>1.9</v>
          </cell>
          <cell r="K1252">
            <v>2.57</v>
          </cell>
          <cell r="L1252">
            <v>3.8</v>
          </cell>
        </row>
        <row r="1253">
          <cell r="D1253" t="str">
            <v xml:space="preserve">  G. 44.            </v>
          </cell>
          <cell r="E1253" t="str">
            <v>CP2308</v>
          </cell>
          <cell r="F1253" t="str">
            <v>6.1.1.3.3</v>
          </cell>
          <cell r="G1253" t="str">
            <v xml:space="preserve">PVC - ESGOTO Joelho 45o DN 40  </v>
          </cell>
          <cell r="H1253" t="str">
            <v xml:space="preserve">pç    </v>
          </cell>
          <cell r="I1253">
            <v>4</v>
          </cell>
          <cell r="J1253">
            <v>1.39</v>
          </cell>
          <cell r="K1253">
            <v>1.99</v>
          </cell>
          <cell r="L1253">
            <v>5.56</v>
          </cell>
        </row>
        <row r="1254">
          <cell r="D1254" t="str">
            <v xml:space="preserve">  G. 45.            </v>
          </cell>
          <cell r="E1254" t="str">
            <v>CP2254</v>
          </cell>
          <cell r="F1254" t="str">
            <v>6.1.1.3.4</v>
          </cell>
          <cell r="G1254" t="str">
            <v xml:space="preserve">PVC - ESGOTO Joelho 45o DN 40 com bolsa para anel  </v>
          </cell>
          <cell r="H1254" t="str">
            <v xml:space="preserve">pç    </v>
          </cell>
          <cell r="I1254">
            <v>4</v>
          </cell>
          <cell r="J1254">
            <v>1.41</v>
          </cell>
          <cell r="K1254">
            <v>1.9</v>
          </cell>
          <cell r="L1254">
            <v>5.64</v>
          </cell>
        </row>
        <row r="1255">
          <cell r="D1255" t="str">
            <v xml:space="preserve">  G. 46.            </v>
          </cell>
          <cell r="E1255" t="str">
            <v xml:space="preserve">      </v>
          </cell>
          <cell r="F1255" t="str">
            <v>6.1.1.4.</v>
          </cell>
          <cell r="G1255" t="str">
            <v xml:space="preserve">PVC - ESGOTO Junção simples:  </v>
          </cell>
          <cell r="H1255" t="str">
            <v xml:space="preserve">      </v>
          </cell>
          <cell r="I1255">
            <v>0</v>
          </cell>
          <cell r="J1255">
            <v>0</v>
          </cell>
          <cell r="K1255">
            <v>0</v>
          </cell>
          <cell r="L1255">
            <v>0</v>
          </cell>
        </row>
        <row r="1256">
          <cell r="D1256" t="str">
            <v xml:space="preserve">  G. 47.            </v>
          </cell>
          <cell r="E1256" t="str">
            <v>CP2093</v>
          </cell>
          <cell r="F1256" t="str">
            <v>6.1.1.4.1</v>
          </cell>
          <cell r="G1256" t="str">
            <v xml:space="preserve">PVC - ESGOTO Junção simples: DN 100 x 100  </v>
          </cell>
          <cell r="H1256" t="str">
            <v xml:space="preserve">pç    </v>
          </cell>
          <cell r="I1256">
            <v>2</v>
          </cell>
          <cell r="J1256">
            <v>3.33</v>
          </cell>
          <cell r="K1256">
            <v>2.78</v>
          </cell>
          <cell r="L1256">
            <v>6.66</v>
          </cell>
        </row>
        <row r="1257">
          <cell r="D1257" t="str">
            <v xml:space="preserve">  G. 48.            </v>
          </cell>
          <cell r="E1257" t="str">
            <v>CP2073</v>
          </cell>
          <cell r="F1257" t="str">
            <v>6.1.1.4.2</v>
          </cell>
          <cell r="G1257" t="str">
            <v xml:space="preserve">PVC - ESGOTO Junção simples: DN 100 x 50  </v>
          </cell>
          <cell r="H1257" t="str">
            <v xml:space="preserve">pç    </v>
          </cell>
          <cell r="I1257">
            <v>3</v>
          </cell>
          <cell r="J1257">
            <v>7.79</v>
          </cell>
          <cell r="K1257">
            <v>9.42</v>
          </cell>
          <cell r="L1257">
            <v>23.37</v>
          </cell>
        </row>
        <row r="1258">
          <cell r="D1258" t="str">
            <v xml:space="preserve">  G. 49.            </v>
          </cell>
          <cell r="E1258" t="str">
            <v xml:space="preserve">      </v>
          </cell>
          <cell r="F1258" t="str">
            <v>6.1.1.5.</v>
          </cell>
          <cell r="G1258" t="str">
            <v xml:space="preserve">PVC - ESGOTO Redução excêntrica:  </v>
          </cell>
          <cell r="H1258" t="str">
            <v xml:space="preserve">      </v>
          </cell>
          <cell r="I1258">
            <v>0</v>
          </cell>
          <cell r="J1258">
            <v>0</v>
          </cell>
          <cell r="K1258">
            <v>0</v>
          </cell>
          <cell r="L1258">
            <v>0</v>
          </cell>
        </row>
        <row r="1259">
          <cell r="D1259" t="str">
            <v xml:space="preserve">  G. 50.            </v>
          </cell>
          <cell r="E1259" t="str">
            <v>CP2227</v>
          </cell>
          <cell r="F1259" t="str">
            <v>6.1.1.5.1</v>
          </cell>
          <cell r="G1259" t="str">
            <v xml:space="preserve">PVC - ESGOTO Redução excêntrica: DN 100 x 50  </v>
          </cell>
          <cell r="H1259" t="str">
            <v xml:space="preserve">pç    </v>
          </cell>
          <cell r="I1259">
            <v>1</v>
          </cell>
          <cell r="J1259">
            <v>6.62</v>
          </cell>
          <cell r="K1259">
            <v>9.4499999999999993</v>
          </cell>
          <cell r="L1259">
            <v>6.62</v>
          </cell>
        </row>
        <row r="1260">
          <cell r="D1260" t="str">
            <v xml:space="preserve">  G. 51.            </v>
          </cell>
          <cell r="E1260" t="str">
            <v xml:space="preserve">      </v>
          </cell>
          <cell r="F1260" t="str">
            <v>6.1.1.6.</v>
          </cell>
          <cell r="G1260" t="str">
            <v xml:space="preserve">PVC - ESGOTO Tê sanitário:  </v>
          </cell>
          <cell r="H1260" t="str">
            <v xml:space="preserve">      </v>
          </cell>
          <cell r="I1260">
            <v>0</v>
          </cell>
          <cell r="J1260">
            <v>0</v>
          </cell>
          <cell r="K1260">
            <v>0</v>
          </cell>
          <cell r="L1260">
            <v>0</v>
          </cell>
        </row>
        <row r="1261">
          <cell r="D1261" t="str">
            <v xml:space="preserve">  G. 52.            </v>
          </cell>
          <cell r="E1261" t="str">
            <v>CP2237</v>
          </cell>
          <cell r="F1261" t="str">
            <v>6.1.1.6.1</v>
          </cell>
          <cell r="G1261" t="str">
            <v xml:space="preserve">PVC - ESGOTO Tê sanitário: DN 50 x 50  </v>
          </cell>
          <cell r="H1261" t="str">
            <v xml:space="preserve">pç    </v>
          </cell>
          <cell r="I1261">
            <v>3</v>
          </cell>
          <cell r="J1261">
            <v>3.52</v>
          </cell>
          <cell r="K1261">
            <v>2.95</v>
          </cell>
          <cell r="L1261">
            <v>10.56</v>
          </cell>
        </row>
        <row r="1262">
          <cell r="D1262" t="str">
            <v xml:space="preserve">  G. 53.            </v>
          </cell>
          <cell r="E1262" t="str">
            <v>CP1991</v>
          </cell>
          <cell r="F1262" t="str">
            <v>6.1.1.7.</v>
          </cell>
          <cell r="G1262" t="str">
            <v xml:space="preserve">Vedação para saída de vaso sanitário  </v>
          </cell>
          <cell r="H1262" t="str">
            <v xml:space="preserve">pç    </v>
          </cell>
          <cell r="I1262">
            <v>2</v>
          </cell>
          <cell r="J1262">
            <v>2.6</v>
          </cell>
          <cell r="K1262">
            <v>2.17</v>
          </cell>
          <cell r="L1262">
            <v>5.2</v>
          </cell>
        </row>
        <row r="1263">
          <cell r="D1263" t="str">
            <v xml:space="preserve">  G. 54.            </v>
          </cell>
          <cell r="E1263" t="str">
            <v xml:space="preserve">      </v>
          </cell>
          <cell r="F1263" t="str">
            <v>6.1.1.8.</v>
          </cell>
          <cell r="G1263" t="str">
            <v xml:space="preserve">Caixa sifonada, com grelha cromada, completa:  </v>
          </cell>
          <cell r="H1263" t="str">
            <v xml:space="preserve">      </v>
          </cell>
          <cell r="I1263">
            <v>0</v>
          </cell>
          <cell r="J1263">
            <v>0</v>
          </cell>
          <cell r="K1263">
            <v>0</v>
          </cell>
          <cell r="L1263">
            <v>0</v>
          </cell>
        </row>
        <row r="1264">
          <cell r="D1264" t="str">
            <v xml:space="preserve">  G. 55.            </v>
          </cell>
          <cell r="E1264" t="str">
            <v>CP2067</v>
          </cell>
          <cell r="F1264" t="str">
            <v>6.1.1.8.1</v>
          </cell>
          <cell r="G1264" t="str">
            <v xml:space="preserve">Caixa sifonada, com grelha cromada, completa: 100 x 100 x 50  </v>
          </cell>
          <cell r="H1264" t="str">
            <v xml:space="preserve">pç    </v>
          </cell>
          <cell r="I1264">
            <v>6</v>
          </cell>
          <cell r="J1264">
            <v>13.44</v>
          </cell>
          <cell r="K1264">
            <v>19.2</v>
          </cell>
          <cell r="L1264">
            <v>80.64</v>
          </cell>
        </row>
        <row r="1265">
          <cell r="D1265" t="str">
            <v xml:space="preserve">  G. 56.            </v>
          </cell>
          <cell r="E1265" t="str">
            <v xml:space="preserve">      </v>
          </cell>
          <cell r="F1265" t="str">
            <v>6.1.2.</v>
          </cell>
          <cell r="G1265" t="str">
            <v xml:space="preserve">PVC ÁGUA FRIA  </v>
          </cell>
          <cell r="H1265" t="str">
            <v xml:space="preserve">      </v>
          </cell>
          <cell r="I1265">
            <v>0</v>
          </cell>
          <cell r="J1265">
            <v>0</v>
          </cell>
          <cell r="K1265">
            <v>0</v>
          </cell>
          <cell r="L1265">
            <v>0</v>
          </cell>
        </row>
        <row r="1266">
          <cell r="D1266" t="str">
            <v xml:space="preserve">  G. 57.            </v>
          </cell>
          <cell r="E1266" t="str">
            <v xml:space="preserve">      </v>
          </cell>
          <cell r="F1266" t="str">
            <v>6.1.2.1.</v>
          </cell>
          <cell r="G1266" t="str">
            <v xml:space="preserve">Tubo de PVC soldável:  </v>
          </cell>
          <cell r="H1266" t="str">
            <v xml:space="preserve">      </v>
          </cell>
          <cell r="I1266">
            <v>0</v>
          </cell>
          <cell r="J1266">
            <v>0</v>
          </cell>
          <cell r="K1266">
            <v>0</v>
          </cell>
          <cell r="L1266">
            <v>0</v>
          </cell>
        </row>
        <row r="1267">
          <cell r="D1267" t="str">
            <v xml:space="preserve">  G. 58.            </v>
          </cell>
          <cell r="E1267" t="str">
            <v>CP0901</v>
          </cell>
          <cell r="F1267" t="str">
            <v>6.1.2.1.1</v>
          </cell>
          <cell r="G1267" t="str">
            <v xml:space="preserve">Tubo de PVC soldável: DN 20  </v>
          </cell>
          <cell r="H1267" t="str">
            <v xml:space="preserve">m     </v>
          </cell>
          <cell r="I1267">
            <v>12</v>
          </cell>
          <cell r="J1267">
            <v>1.19</v>
          </cell>
          <cell r="K1267">
            <v>1</v>
          </cell>
          <cell r="L1267">
            <v>14.28</v>
          </cell>
        </row>
        <row r="1268">
          <cell r="D1268" t="str">
            <v xml:space="preserve">  G. 59.            </v>
          </cell>
          <cell r="E1268" t="str">
            <v>CP0896</v>
          </cell>
          <cell r="F1268" t="str">
            <v>6.1.2.1.2</v>
          </cell>
          <cell r="G1268" t="str">
            <v xml:space="preserve">Tubo de PVC soldável: DN 25  </v>
          </cell>
          <cell r="H1268" t="str">
            <v xml:space="preserve">m     </v>
          </cell>
          <cell r="I1268">
            <v>24</v>
          </cell>
          <cell r="J1268">
            <v>1.71</v>
          </cell>
          <cell r="K1268">
            <v>1.43</v>
          </cell>
          <cell r="L1268">
            <v>41.04</v>
          </cell>
        </row>
        <row r="1269">
          <cell r="D1269" t="str">
            <v xml:space="preserve">  G. 60.            </v>
          </cell>
          <cell r="E1269" t="str">
            <v>CP0891</v>
          </cell>
          <cell r="F1269" t="str">
            <v>6.1.2.1.3</v>
          </cell>
          <cell r="G1269" t="str">
            <v xml:space="preserve">Tubo de PVC soldável: DN 32  </v>
          </cell>
          <cell r="H1269" t="str">
            <v xml:space="preserve">m     </v>
          </cell>
          <cell r="I1269">
            <v>6</v>
          </cell>
          <cell r="J1269">
            <v>2.68</v>
          </cell>
          <cell r="K1269">
            <v>2.2400000000000002</v>
          </cell>
          <cell r="L1269">
            <v>16.079999999999998</v>
          </cell>
        </row>
        <row r="1270">
          <cell r="D1270" t="str">
            <v xml:space="preserve">  G. 61.            </v>
          </cell>
          <cell r="E1270" t="str">
            <v>CP0887</v>
          </cell>
          <cell r="F1270" t="str">
            <v>6.1.2.1.4</v>
          </cell>
          <cell r="G1270" t="str">
            <v xml:space="preserve">Tubo de PVC soldável: DN 40  </v>
          </cell>
          <cell r="H1270" t="str">
            <v xml:space="preserve">m     </v>
          </cell>
          <cell r="I1270">
            <v>24</v>
          </cell>
          <cell r="J1270">
            <v>3.9</v>
          </cell>
          <cell r="K1270">
            <v>3.27</v>
          </cell>
          <cell r="L1270">
            <v>93.6</v>
          </cell>
        </row>
        <row r="1271">
          <cell r="D1271" t="str">
            <v xml:space="preserve">  G. 62.            </v>
          </cell>
          <cell r="E1271" t="str">
            <v>CP0881</v>
          </cell>
          <cell r="F1271" t="str">
            <v>6.1.2.1.5</v>
          </cell>
          <cell r="G1271" t="str">
            <v xml:space="preserve">Tubo de PVC soldável: DN 50  </v>
          </cell>
          <cell r="H1271" t="str">
            <v xml:space="preserve">m     </v>
          </cell>
          <cell r="I1271">
            <v>36</v>
          </cell>
          <cell r="J1271">
            <v>6.02</v>
          </cell>
          <cell r="K1271">
            <v>5.04</v>
          </cell>
          <cell r="L1271">
            <v>216.72</v>
          </cell>
        </row>
        <row r="1272">
          <cell r="D1272" t="str">
            <v xml:space="preserve">  G. 63.            </v>
          </cell>
          <cell r="E1272" t="str">
            <v>CP0876</v>
          </cell>
          <cell r="F1272" t="str">
            <v>6.1.2.1.6</v>
          </cell>
          <cell r="G1272" t="str">
            <v xml:space="preserve">Tubo de PVC soldável: DN 60  </v>
          </cell>
          <cell r="H1272" t="str">
            <v xml:space="preserve">m     </v>
          </cell>
          <cell r="I1272">
            <v>6</v>
          </cell>
          <cell r="J1272">
            <v>8</v>
          </cell>
          <cell r="K1272">
            <v>6.72</v>
          </cell>
          <cell r="L1272">
            <v>48</v>
          </cell>
        </row>
        <row r="1273">
          <cell r="D1273" t="str">
            <v xml:space="preserve">  G. 64.            </v>
          </cell>
          <cell r="E1273" t="str">
            <v xml:space="preserve">      </v>
          </cell>
          <cell r="F1273" t="str">
            <v>6.1.2.2.</v>
          </cell>
          <cell r="G1273" t="str">
            <v xml:space="preserve">Adaptador soldável curto, com bolsa e rosca para registro:  </v>
          </cell>
          <cell r="H1273" t="str">
            <v xml:space="preserve">      </v>
          </cell>
          <cell r="I1273">
            <v>0</v>
          </cell>
          <cell r="J1273">
            <v>0</v>
          </cell>
          <cell r="K1273">
            <v>0</v>
          </cell>
          <cell r="L1273">
            <v>0</v>
          </cell>
        </row>
        <row r="1274">
          <cell r="D1274" t="str">
            <v xml:space="preserve">  G. 65.            </v>
          </cell>
          <cell r="E1274" t="str">
            <v>CP2188</v>
          </cell>
          <cell r="F1274" t="str">
            <v>6.1.2.2.1</v>
          </cell>
          <cell r="G1274" t="str">
            <v xml:space="preserve">Adaptador soldável curto, com bolsa e rosca para registro: DN 60 x 2  </v>
          </cell>
          <cell r="H1274" t="str">
            <v xml:space="preserve">pç    </v>
          </cell>
          <cell r="I1274">
            <v>2</v>
          </cell>
          <cell r="J1274">
            <v>2.89</v>
          </cell>
          <cell r="K1274">
            <v>2.4300000000000002</v>
          </cell>
          <cell r="L1274">
            <v>5.78</v>
          </cell>
        </row>
        <row r="1275">
          <cell r="D1275" t="str">
            <v xml:space="preserve">  G. 66.            </v>
          </cell>
          <cell r="E1275" t="str">
            <v>CP0860</v>
          </cell>
          <cell r="F1275" t="str">
            <v>6.1.2.2.2</v>
          </cell>
          <cell r="G1275" t="str">
            <v xml:space="preserve">Adaptador soldável curto, com bolsa e rosca para registro: DN 50 x 1 1/2  </v>
          </cell>
          <cell r="H1275" t="str">
            <v xml:space="preserve">pç    </v>
          </cell>
          <cell r="I1275">
            <v>4</v>
          </cell>
          <cell r="J1275">
            <v>0.8</v>
          </cell>
          <cell r="K1275">
            <v>0.67</v>
          </cell>
          <cell r="L1275">
            <v>3.2</v>
          </cell>
        </row>
        <row r="1276">
          <cell r="D1276" t="str">
            <v xml:space="preserve">  G. 67.            </v>
          </cell>
          <cell r="E1276" t="str">
            <v>CP0864</v>
          </cell>
          <cell r="F1276" t="str">
            <v>6.1.2.2.3</v>
          </cell>
          <cell r="G1276" t="str">
            <v xml:space="preserve">Adaptador soldável curto, com bolsa e rosca para registro: DN 40 x 1 1/4  </v>
          </cell>
          <cell r="H1276" t="str">
            <v xml:space="preserve">pç    </v>
          </cell>
          <cell r="I1276">
            <v>2</v>
          </cell>
          <cell r="J1276">
            <v>0.61</v>
          </cell>
          <cell r="K1276">
            <v>0.51</v>
          </cell>
          <cell r="L1276">
            <v>1.22</v>
          </cell>
        </row>
        <row r="1277">
          <cell r="D1277" t="str">
            <v xml:space="preserve">  G. 68.            </v>
          </cell>
          <cell r="E1277" t="str">
            <v>CP0866</v>
          </cell>
          <cell r="F1277" t="str">
            <v>6.1.2.2.4</v>
          </cell>
          <cell r="G1277" t="str">
            <v xml:space="preserve">Adaptador soldável curto, com bolsa e rosca para registro: DN 32 x 1  </v>
          </cell>
          <cell r="H1277" t="str">
            <v xml:space="preserve">pç    </v>
          </cell>
          <cell r="I1277">
            <v>2</v>
          </cell>
          <cell r="J1277">
            <v>0.3</v>
          </cell>
          <cell r="K1277">
            <v>0.25</v>
          </cell>
          <cell r="L1277">
            <v>0.6</v>
          </cell>
        </row>
        <row r="1278">
          <cell r="D1278" t="str">
            <v xml:space="preserve">  G. 69.            </v>
          </cell>
          <cell r="E1278" t="str">
            <v>CP0868</v>
          </cell>
          <cell r="F1278" t="str">
            <v>6.1.2.2.5</v>
          </cell>
          <cell r="G1278" t="str">
            <v xml:space="preserve">Adaptador soldável curto, com bolsa e rosca para registro: DN 25 x 3/4  </v>
          </cell>
          <cell r="H1278" t="str">
            <v xml:space="preserve">pç    </v>
          </cell>
          <cell r="I1278">
            <v>4</v>
          </cell>
          <cell r="J1278">
            <v>0.13</v>
          </cell>
          <cell r="K1278">
            <v>0.11</v>
          </cell>
          <cell r="L1278">
            <v>0.52</v>
          </cell>
        </row>
        <row r="1279">
          <cell r="D1279" t="str">
            <v xml:space="preserve">  G. 70.            </v>
          </cell>
          <cell r="E1279" t="str">
            <v xml:space="preserve">      </v>
          </cell>
          <cell r="F1279" t="str">
            <v>6.1.2.3.</v>
          </cell>
          <cell r="G1279" t="str">
            <v xml:space="preserve">PVC ÁGUA FRIA Adaptador soldável, com flanges livres para caixa dágua:  </v>
          </cell>
          <cell r="H1279" t="str">
            <v xml:space="preserve">      </v>
          </cell>
          <cell r="I1279">
            <v>0</v>
          </cell>
          <cell r="J1279">
            <v>0</v>
          </cell>
          <cell r="K1279">
            <v>0</v>
          </cell>
          <cell r="L1279">
            <v>0</v>
          </cell>
        </row>
        <row r="1280">
          <cell r="D1280" t="str">
            <v xml:space="preserve">  G. 71.            </v>
          </cell>
          <cell r="E1280" t="str">
            <v>CP1993</v>
          </cell>
          <cell r="F1280" t="str">
            <v>6.1.2.3.1</v>
          </cell>
          <cell r="G1280" t="str">
            <v xml:space="preserve">PVC ÁGUA FRIA Adaptador soldável, com flanges livres para caixa dágua: DN 60 x 2  </v>
          </cell>
          <cell r="H1280" t="str">
            <v xml:space="preserve">pç    </v>
          </cell>
          <cell r="I1280">
            <v>1</v>
          </cell>
          <cell r="J1280">
            <v>29.33</v>
          </cell>
          <cell r="K1280">
            <v>29.74</v>
          </cell>
          <cell r="L1280">
            <v>29.33</v>
          </cell>
        </row>
        <row r="1281">
          <cell r="D1281" t="str">
            <v xml:space="preserve">  G. 72.            </v>
          </cell>
          <cell r="E1281" t="str">
            <v>CP2062</v>
          </cell>
          <cell r="F1281" t="str">
            <v>6.1.2.3.2</v>
          </cell>
          <cell r="G1281" t="str">
            <v xml:space="preserve">PVC ÁGUA FRIA Adaptador soldável, com flanges livres para caixa dágua: DN 40 x 1 1/4  </v>
          </cell>
          <cell r="H1281" t="str">
            <v xml:space="preserve">pç    </v>
          </cell>
          <cell r="I1281">
            <v>4</v>
          </cell>
          <cell r="J1281">
            <v>12.07</v>
          </cell>
          <cell r="K1281">
            <v>16.850000000000001</v>
          </cell>
          <cell r="L1281">
            <v>48.28</v>
          </cell>
        </row>
        <row r="1282">
          <cell r="D1282" t="str">
            <v xml:space="preserve">  G. 73.            </v>
          </cell>
          <cell r="E1282" t="str">
            <v>CP2083</v>
          </cell>
          <cell r="F1282" t="str">
            <v>6.1.2.3.3</v>
          </cell>
          <cell r="G1282" t="str">
            <v xml:space="preserve">PVC ÁGUA FRIA Adaptador soldável, com flanges livres para caixa dágua: DN 32 x 1  </v>
          </cell>
          <cell r="H1282" t="str">
            <v xml:space="preserve">pç    </v>
          </cell>
          <cell r="I1282">
            <v>1</v>
          </cell>
          <cell r="J1282">
            <v>9.73</v>
          </cell>
          <cell r="K1282">
            <v>13.95</v>
          </cell>
          <cell r="L1282">
            <v>9.73</v>
          </cell>
        </row>
        <row r="1283">
          <cell r="D1283" t="str">
            <v xml:space="preserve">  G. 74.            </v>
          </cell>
          <cell r="E1283" t="str">
            <v>CP2157</v>
          </cell>
          <cell r="F1283" t="str">
            <v>6.1.2.3.4</v>
          </cell>
          <cell r="G1283" t="str">
            <v xml:space="preserve">PVC ÁGUA FRIA Adaptador soldável, com flanges livres para caixa dágua: DN 25 x 3/4  </v>
          </cell>
          <cell r="H1283" t="str">
            <v xml:space="preserve">pç    </v>
          </cell>
          <cell r="I1283">
            <v>3</v>
          </cell>
          <cell r="J1283">
            <v>7.89</v>
          </cell>
          <cell r="K1283">
            <v>8.41</v>
          </cell>
          <cell r="L1283">
            <v>23.67</v>
          </cell>
        </row>
        <row r="1284">
          <cell r="D1284" t="str">
            <v xml:space="preserve">  G. 75.            </v>
          </cell>
          <cell r="E1284" t="str">
            <v xml:space="preserve">      </v>
          </cell>
          <cell r="F1284" t="str">
            <v>6.1.2.4.</v>
          </cell>
          <cell r="G1284" t="str">
            <v xml:space="preserve">PVC ÁGUA FRIA Bucha de redução soldável curta:  </v>
          </cell>
          <cell r="H1284" t="str">
            <v xml:space="preserve">      </v>
          </cell>
          <cell r="I1284">
            <v>0</v>
          </cell>
          <cell r="J1284">
            <v>0</v>
          </cell>
          <cell r="K1284">
            <v>0</v>
          </cell>
          <cell r="L1284">
            <v>0</v>
          </cell>
        </row>
        <row r="1285">
          <cell r="D1285" t="str">
            <v xml:space="preserve">  G. 76.            </v>
          </cell>
          <cell r="E1285" t="str">
            <v>CP0791</v>
          </cell>
          <cell r="F1285" t="str">
            <v>6.1.2.4.1</v>
          </cell>
          <cell r="G1285" t="str">
            <v xml:space="preserve">PVC ÁGUA FRIA Bucha de redução soldável curta: DN 60 x 50  </v>
          </cell>
          <cell r="H1285" t="str">
            <v xml:space="preserve">pç    </v>
          </cell>
          <cell r="I1285">
            <v>2</v>
          </cell>
          <cell r="J1285">
            <v>2.97</v>
          </cell>
          <cell r="K1285">
            <v>3.1</v>
          </cell>
          <cell r="L1285">
            <v>5.94</v>
          </cell>
        </row>
        <row r="1286">
          <cell r="D1286" t="str">
            <v xml:space="preserve">  G. 77.            </v>
          </cell>
          <cell r="E1286" t="str">
            <v>CP0856</v>
          </cell>
          <cell r="F1286" t="str">
            <v>6.1.2.4.2</v>
          </cell>
          <cell r="G1286" t="str">
            <v xml:space="preserve">PVC ÁGUA FRIA Bucha de redução soldável curta: DN 25 x 20  </v>
          </cell>
          <cell r="H1286" t="str">
            <v xml:space="preserve">pç    </v>
          </cell>
          <cell r="I1286">
            <v>2</v>
          </cell>
          <cell r="J1286">
            <v>0.21</v>
          </cell>
          <cell r="K1286">
            <v>0.18</v>
          </cell>
          <cell r="L1286">
            <v>0.42</v>
          </cell>
        </row>
        <row r="1287">
          <cell r="D1287" t="str">
            <v xml:space="preserve">  G. 78.            </v>
          </cell>
          <cell r="E1287" t="str">
            <v xml:space="preserve">      </v>
          </cell>
          <cell r="F1287" t="str">
            <v>6.1.2.5.</v>
          </cell>
          <cell r="G1287" t="str">
            <v xml:space="preserve">PVC ÁGUA FRIA Bucha de redução soldável longa:  </v>
          </cell>
          <cell r="H1287" t="str">
            <v xml:space="preserve">      </v>
          </cell>
          <cell r="I1287">
            <v>0</v>
          </cell>
          <cell r="J1287">
            <v>0</v>
          </cell>
          <cell r="K1287">
            <v>0</v>
          </cell>
          <cell r="L1287">
            <v>0</v>
          </cell>
        </row>
        <row r="1288">
          <cell r="D1288" t="str">
            <v xml:space="preserve">  G. 79.            </v>
          </cell>
          <cell r="E1288" t="str">
            <v>CP2290</v>
          </cell>
          <cell r="F1288" t="str">
            <v>6.1.2.5.1</v>
          </cell>
          <cell r="G1288" t="str">
            <v xml:space="preserve">PVC ÁGUA FRIA Bucha de redução soldável longa: DN 50 x 25  </v>
          </cell>
          <cell r="H1288" t="str">
            <v xml:space="preserve">pç    </v>
          </cell>
          <cell r="I1288">
            <v>1</v>
          </cell>
          <cell r="J1288">
            <v>1.57</v>
          </cell>
          <cell r="K1288">
            <v>1.31</v>
          </cell>
          <cell r="L1288">
            <v>1.57</v>
          </cell>
        </row>
        <row r="1289">
          <cell r="D1289" t="str">
            <v xml:space="preserve">  G. 80.            </v>
          </cell>
          <cell r="E1289" t="str">
            <v xml:space="preserve">      </v>
          </cell>
          <cell r="F1289" t="str">
            <v>6.1.2.6.</v>
          </cell>
          <cell r="G1289" t="str">
            <v xml:space="preserve">PVC ÁGUA FRIA Joelho 90o soldável:  </v>
          </cell>
          <cell r="H1289" t="str">
            <v xml:space="preserve">      </v>
          </cell>
          <cell r="I1289">
            <v>0</v>
          </cell>
          <cell r="J1289">
            <v>0</v>
          </cell>
          <cell r="K1289">
            <v>0</v>
          </cell>
          <cell r="L1289">
            <v>0</v>
          </cell>
        </row>
        <row r="1290">
          <cell r="D1290" t="str">
            <v xml:space="preserve">  G. 81.            </v>
          </cell>
          <cell r="E1290" t="str">
            <v>CP0826</v>
          </cell>
          <cell r="F1290" t="str">
            <v>6.1.2.6.1</v>
          </cell>
          <cell r="G1290" t="str">
            <v xml:space="preserve">PVC ÁGUA FRIA Joelho 90o soldável: DN 60  </v>
          </cell>
          <cell r="H1290" t="str">
            <v xml:space="preserve">pç    </v>
          </cell>
          <cell r="I1290">
            <v>3</v>
          </cell>
          <cell r="J1290">
            <v>10.65</v>
          </cell>
          <cell r="K1290">
            <v>8.89</v>
          </cell>
          <cell r="L1290">
            <v>31.95</v>
          </cell>
        </row>
        <row r="1291">
          <cell r="D1291" t="str">
            <v xml:space="preserve">  G. 82.            </v>
          </cell>
          <cell r="E1291" t="str">
            <v>CP0832</v>
          </cell>
          <cell r="F1291" t="str">
            <v>6.1.2.6.2</v>
          </cell>
          <cell r="G1291" t="str">
            <v xml:space="preserve">PVC ÁGUA FRIA Joelho 90o soldável: DN 50  </v>
          </cell>
          <cell r="H1291" t="str">
            <v xml:space="preserve">pç    </v>
          </cell>
          <cell r="I1291">
            <v>11</v>
          </cell>
          <cell r="J1291">
            <v>2.97</v>
          </cell>
          <cell r="K1291">
            <v>2.48</v>
          </cell>
          <cell r="L1291">
            <v>32.67</v>
          </cell>
        </row>
        <row r="1292">
          <cell r="D1292" t="str">
            <v xml:space="preserve">  G. 83.            </v>
          </cell>
          <cell r="E1292" t="str">
            <v>CP0836</v>
          </cell>
          <cell r="F1292" t="str">
            <v>6.1.2.6.3</v>
          </cell>
          <cell r="G1292" t="str">
            <v xml:space="preserve">PVC ÁGUA FRIA Joelho 90o soldável: DN 40  </v>
          </cell>
          <cell r="H1292" t="str">
            <v xml:space="preserve">pç    </v>
          </cell>
          <cell r="I1292">
            <v>2</v>
          </cell>
          <cell r="J1292">
            <v>2.5299999999999998</v>
          </cell>
          <cell r="K1292">
            <v>2.12</v>
          </cell>
          <cell r="L1292">
            <v>5.0599999999999996</v>
          </cell>
        </row>
        <row r="1293">
          <cell r="D1293" t="str">
            <v xml:space="preserve">  G. 84.            </v>
          </cell>
          <cell r="E1293" t="str">
            <v>CP0839</v>
          </cell>
          <cell r="F1293" t="str">
            <v>6.1.2.6.4</v>
          </cell>
          <cell r="G1293" t="str">
            <v xml:space="preserve">PVC ÁGUA FRIA Joelho 90o soldável: DN 32  </v>
          </cell>
          <cell r="H1293" t="str">
            <v xml:space="preserve">pç    </v>
          </cell>
          <cell r="I1293">
            <v>4</v>
          </cell>
          <cell r="J1293">
            <v>0.42</v>
          </cell>
          <cell r="K1293">
            <v>0.86</v>
          </cell>
          <cell r="L1293">
            <v>1.68</v>
          </cell>
        </row>
        <row r="1294">
          <cell r="D1294" t="str">
            <v xml:space="preserve">  G. 85.            </v>
          </cell>
          <cell r="E1294" t="str">
            <v>CP0844</v>
          </cell>
          <cell r="F1294" t="str">
            <v>6.1.2.6.5</v>
          </cell>
          <cell r="G1294" t="str">
            <v xml:space="preserve">PVC ÁGUA FRIA Joelho 90o soldável: DN 25  </v>
          </cell>
          <cell r="H1294" t="str">
            <v xml:space="preserve">pç    </v>
          </cell>
          <cell r="I1294">
            <v>9</v>
          </cell>
          <cell r="J1294">
            <v>0.28000000000000003</v>
          </cell>
          <cell r="K1294">
            <v>0.35</v>
          </cell>
          <cell r="L1294">
            <v>2.52</v>
          </cell>
        </row>
        <row r="1295">
          <cell r="D1295" t="str">
            <v xml:space="preserve">  G. 86.            </v>
          </cell>
          <cell r="E1295" t="str">
            <v>CP0849</v>
          </cell>
          <cell r="F1295" t="str">
            <v>6.1.2.6.6</v>
          </cell>
          <cell r="G1295" t="str">
            <v xml:space="preserve">PVC ÁGUA FRIA Joelho 90o soldável: DN 20  </v>
          </cell>
          <cell r="H1295" t="str">
            <v xml:space="preserve">pç    </v>
          </cell>
          <cell r="I1295">
            <v>5</v>
          </cell>
          <cell r="J1295">
            <v>0.28000000000000003</v>
          </cell>
          <cell r="K1295">
            <v>0.24</v>
          </cell>
          <cell r="L1295">
            <v>1.4</v>
          </cell>
        </row>
        <row r="1296">
          <cell r="D1296" t="str">
            <v xml:space="preserve">  G. 87.            </v>
          </cell>
          <cell r="E1296" t="str">
            <v xml:space="preserve">      </v>
          </cell>
          <cell r="F1296" t="str">
            <v>6.1.2.7.</v>
          </cell>
          <cell r="G1296" t="str">
            <v xml:space="preserve">PVC ÁGUA FRIA Joelho 90o soldável com bucha de latão:  </v>
          </cell>
          <cell r="H1296" t="str">
            <v xml:space="preserve">      </v>
          </cell>
          <cell r="I1296">
            <v>0</v>
          </cell>
          <cell r="J1296">
            <v>0</v>
          </cell>
          <cell r="K1296">
            <v>0</v>
          </cell>
          <cell r="L1296">
            <v>0</v>
          </cell>
        </row>
        <row r="1297">
          <cell r="D1297" t="str">
            <v xml:space="preserve">  G. 88.            </v>
          </cell>
          <cell r="E1297" t="str">
            <v>CP2209</v>
          </cell>
          <cell r="F1297" t="str">
            <v>6.1.2.7.1</v>
          </cell>
          <cell r="G1297" t="str">
            <v xml:space="preserve">PVC ÁGUA FRIA Joelho 90o soldável com bucha de latão: DN 25 x 3/4  </v>
          </cell>
          <cell r="H1297" t="str">
            <v xml:space="preserve">pç    </v>
          </cell>
          <cell r="I1297">
            <v>2</v>
          </cell>
          <cell r="J1297">
            <v>2.12</v>
          </cell>
          <cell r="K1297">
            <v>1.78</v>
          </cell>
          <cell r="L1297">
            <v>4.24</v>
          </cell>
        </row>
        <row r="1298">
          <cell r="D1298" t="str">
            <v xml:space="preserve">  G. 89.            </v>
          </cell>
          <cell r="E1298" t="str">
            <v>CP2221</v>
          </cell>
          <cell r="F1298" t="str">
            <v>6.1.2.7.2</v>
          </cell>
          <cell r="G1298" t="str">
            <v xml:space="preserve">PVC ÁGUA FRIA Joelho 90o soldável com bucha de latão: DN 20 x 1/2  </v>
          </cell>
          <cell r="H1298" t="str">
            <v xml:space="preserve">pç    </v>
          </cell>
          <cell r="I1298">
            <v>4</v>
          </cell>
          <cell r="J1298">
            <v>3.22</v>
          </cell>
          <cell r="K1298">
            <v>4.0999999999999996</v>
          </cell>
          <cell r="L1298">
            <v>12.88</v>
          </cell>
        </row>
        <row r="1299">
          <cell r="D1299" t="str">
            <v xml:space="preserve">  G. 90.            </v>
          </cell>
          <cell r="E1299" t="str">
            <v xml:space="preserve">      </v>
          </cell>
          <cell r="F1299" t="str">
            <v>6.1.2.8.</v>
          </cell>
          <cell r="G1299" t="str">
            <v xml:space="preserve">PVC ÁGUA FRIA Joelho 45o soldável:  </v>
          </cell>
          <cell r="H1299" t="str">
            <v xml:space="preserve">      </v>
          </cell>
          <cell r="I1299">
            <v>0</v>
          </cell>
          <cell r="J1299">
            <v>0</v>
          </cell>
          <cell r="K1299">
            <v>0</v>
          </cell>
          <cell r="L1299">
            <v>0</v>
          </cell>
        </row>
        <row r="1300">
          <cell r="D1300" t="str">
            <v xml:space="preserve">  G. 91.            </v>
          </cell>
          <cell r="E1300" t="str">
            <v>CP0957</v>
          </cell>
          <cell r="F1300" t="str">
            <v>6.1.2.8.1</v>
          </cell>
          <cell r="G1300" t="str">
            <v xml:space="preserve">PVC ÁGUA FRIA Joelho 45o soldável: DN 50  </v>
          </cell>
          <cell r="H1300" t="str">
            <v xml:space="preserve">pç    </v>
          </cell>
          <cell r="I1300">
            <v>1</v>
          </cell>
          <cell r="J1300">
            <v>3.62</v>
          </cell>
          <cell r="K1300">
            <v>3.02</v>
          </cell>
          <cell r="L1300">
            <v>3.62</v>
          </cell>
        </row>
        <row r="1301">
          <cell r="D1301" t="str">
            <v xml:space="preserve">  G. 92.            </v>
          </cell>
          <cell r="E1301" t="str">
            <v>CP2265</v>
          </cell>
          <cell r="F1301" t="str">
            <v>6.1.2.8.2</v>
          </cell>
          <cell r="G1301" t="str">
            <v xml:space="preserve">PVC ÁGUA FRIA Joelho 45o soldável: DN 32  </v>
          </cell>
          <cell r="H1301" t="str">
            <v xml:space="preserve">pç    </v>
          </cell>
          <cell r="I1301">
            <v>1</v>
          </cell>
          <cell r="J1301">
            <v>2.15</v>
          </cell>
          <cell r="K1301">
            <v>2.59</v>
          </cell>
          <cell r="L1301">
            <v>2.15</v>
          </cell>
        </row>
        <row r="1302">
          <cell r="D1302" t="str">
            <v xml:space="preserve">  G. 93.            </v>
          </cell>
          <cell r="E1302" t="str">
            <v>CP2327</v>
          </cell>
          <cell r="F1302" t="str">
            <v>6.1.2.8.3</v>
          </cell>
          <cell r="G1302" t="str">
            <v xml:space="preserve">PVC ÁGUA FRIA Joelho 45o soldável: DN 20  </v>
          </cell>
          <cell r="H1302" t="str">
            <v xml:space="preserve">pç    </v>
          </cell>
          <cell r="I1302">
            <v>5</v>
          </cell>
          <cell r="J1302">
            <v>0.46</v>
          </cell>
          <cell r="K1302">
            <v>0.56000000000000005</v>
          </cell>
          <cell r="L1302">
            <v>2.2999999999999998</v>
          </cell>
        </row>
        <row r="1303">
          <cell r="D1303" t="str">
            <v xml:space="preserve">  G. 94.            </v>
          </cell>
          <cell r="E1303" t="str">
            <v xml:space="preserve">      </v>
          </cell>
          <cell r="F1303" t="str">
            <v>6.1.2.9.</v>
          </cell>
          <cell r="G1303" t="str">
            <v xml:space="preserve">PVC ÁGUA FRIA Tê 90o soldável:  </v>
          </cell>
          <cell r="H1303" t="str">
            <v xml:space="preserve">      </v>
          </cell>
          <cell r="I1303">
            <v>0</v>
          </cell>
          <cell r="J1303">
            <v>0</v>
          </cell>
          <cell r="K1303">
            <v>0</v>
          </cell>
          <cell r="L1303">
            <v>0</v>
          </cell>
        </row>
        <row r="1304">
          <cell r="D1304" t="str">
            <v xml:space="preserve">  G. 95.            </v>
          </cell>
          <cell r="E1304" t="str">
            <v>CP0683</v>
          </cell>
          <cell r="F1304" t="str">
            <v>6.1.2.9.1</v>
          </cell>
          <cell r="G1304" t="str">
            <v xml:space="preserve">PVC ÁGUA FRIA Tê 90o soldável: DN 60  </v>
          </cell>
          <cell r="H1304" t="str">
            <v xml:space="preserve">pç    </v>
          </cell>
          <cell r="I1304">
            <v>2</v>
          </cell>
          <cell r="J1304">
            <v>14.59</v>
          </cell>
          <cell r="K1304">
            <v>13.32</v>
          </cell>
          <cell r="L1304">
            <v>29.18</v>
          </cell>
        </row>
        <row r="1305">
          <cell r="D1305" t="str">
            <v xml:space="preserve">  G. 96.            </v>
          </cell>
          <cell r="E1305" t="str">
            <v>CP0686</v>
          </cell>
          <cell r="F1305" t="str">
            <v>6.1.2.9.3</v>
          </cell>
          <cell r="G1305" t="str">
            <v xml:space="preserve">PVC ÁGUA FRIA Tê 90o soldável: DN 40  </v>
          </cell>
          <cell r="H1305" t="str">
            <v xml:space="preserve">pç    </v>
          </cell>
          <cell r="I1305">
            <v>1</v>
          </cell>
          <cell r="J1305">
            <v>4.59</v>
          </cell>
          <cell r="K1305">
            <v>3.83</v>
          </cell>
          <cell r="L1305">
            <v>4.59</v>
          </cell>
        </row>
        <row r="1306">
          <cell r="D1306" t="str">
            <v xml:space="preserve">  G. 97.            </v>
          </cell>
          <cell r="E1306" t="str">
            <v>CP0691</v>
          </cell>
          <cell r="F1306" t="str">
            <v>6.1.2.9.4</v>
          </cell>
          <cell r="G1306" t="str">
            <v xml:space="preserve">PVC ÁGUA FRIA Tê 90o soldável: DN 20  </v>
          </cell>
          <cell r="H1306" t="str">
            <v xml:space="preserve">pç    </v>
          </cell>
          <cell r="I1306">
            <v>2</v>
          </cell>
          <cell r="J1306">
            <v>0.52</v>
          </cell>
          <cell r="K1306">
            <v>0.44</v>
          </cell>
          <cell r="L1306">
            <v>1.04</v>
          </cell>
        </row>
        <row r="1307">
          <cell r="D1307" t="str">
            <v xml:space="preserve">  G. 98.            </v>
          </cell>
          <cell r="E1307" t="str">
            <v xml:space="preserve">      </v>
          </cell>
          <cell r="F1307" t="str">
            <v>6.1.2.10.</v>
          </cell>
          <cell r="G1307" t="str">
            <v xml:space="preserve">PVC ÁGUA FRIA Tê 90o soldável com bucha de latão na bolsa central:  </v>
          </cell>
          <cell r="H1307" t="str">
            <v xml:space="preserve">      </v>
          </cell>
          <cell r="I1307">
            <v>0</v>
          </cell>
          <cell r="J1307">
            <v>0</v>
          </cell>
          <cell r="K1307">
            <v>0</v>
          </cell>
          <cell r="L1307">
            <v>0</v>
          </cell>
        </row>
        <row r="1308">
          <cell r="D1308" t="str">
            <v xml:space="preserve">  G. 99.            </v>
          </cell>
          <cell r="E1308" t="str">
            <v>CP2176</v>
          </cell>
          <cell r="F1308" t="str">
            <v>6.1.2.10.1</v>
          </cell>
          <cell r="G1308" t="str">
            <v xml:space="preserve">PVC ÁGUA FRIA Tê 90o soldável com bucha de latão na bolsa central: DN 20 x 20 x 1/2  </v>
          </cell>
          <cell r="H1308" t="str">
            <v xml:space="preserve">pç    </v>
          </cell>
          <cell r="I1308">
            <v>1</v>
          </cell>
          <cell r="J1308">
            <v>4.96</v>
          </cell>
          <cell r="K1308">
            <v>6.3</v>
          </cell>
          <cell r="L1308">
            <v>4.96</v>
          </cell>
        </row>
        <row r="1309">
          <cell r="D1309" t="str">
            <v xml:space="preserve">  G.100.            </v>
          </cell>
          <cell r="E1309" t="str">
            <v xml:space="preserve">      </v>
          </cell>
          <cell r="F1309" t="str">
            <v>6.1.2.11.</v>
          </cell>
          <cell r="G1309" t="str">
            <v xml:space="preserve">PVC ÁGUA FRIA Tê de redução 90o soldável:  </v>
          </cell>
          <cell r="H1309" t="str">
            <v xml:space="preserve">      </v>
          </cell>
          <cell r="I1309">
            <v>0</v>
          </cell>
          <cell r="J1309">
            <v>0</v>
          </cell>
          <cell r="K1309">
            <v>0</v>
          </cell>
          <cell r="L1309">
            <v>0</v>
          </cell>
        </row>
        <row r="1310">
          <cell r="D1310" t="str">
            <v xml:space="preserve">  G.101.            </v>
          </cell>
          <cell r="E1310" t="str">
            <v>CP0808</v>
          </cell>
          <cell r="F1310" t="str">
            <v>6.1.2.11.1</v>
          </cell>
          <cell r="G1310" t="str">
            <v xml:space="preserve">PVC ÁGUA FRIA Tê de redução 90o soldável: DN 50 x 25  </v>
          </cell>
          <cell r="H1310" t="str">
            <v xml:space="preserve">pç    </v>
          </cell>
          <cell r="I1310">
            <v>2</v>
          </cell>
          <cell r="J1310">
            <v>4.5999999999999996</v>
          </cell>
          <cell r="K1310">
            <v>3.97</v>
          </cell>
          <cell r="L1310">
            <v>9.1999999999999993</v>
          </cell>
        </row>
        <row r="1311">
          <cell r="D1311" t="str">
            <v xml:space="preserve">  G.102.            </v>
          </cell>
          <cell r="E1311" t="str">
            <v xml:space="preserve">      </v>
          </cell>
          <cell r="F1311" t="str">
            <v>6.1.2.12.</v>
          </cell>
          <cell r="G1311" t="str">
            <v xml:space="preserve">PVC ÁGUA FRIA Tubo de descarga:  </v>
          </cell>
          <cell r="H1311" t="str">
            <v xml:space="preserve">      </v>
          </cell>
          <cell r="I1311">
            <v>0</v>
          </cell>
          <cell r="J1311">
            <v>0</v>
          </cell>
          <cell r="K1311">
            <v>0</v>
          </cell>
          <cell r="L1311">
            <v>0</v>
          </cell>
        </row>
        <row r="1312">
          <cell r="D1312" t="str">
            <v xml:space="preserve">  G.103.            </v>
          </cell>
          <cell r="E1312" t="str">
            <v>CP2181</v>
          </cell>
          <cell r="F1312" t="str">
            <v>6.1.2.12.1</v>
          </cell>
          <cell r="G1312" t="str">
            <v xml:space="preserve">PVC ÁGUA FRIA Tubo de descarga: DN 38  </v>
          </cell>
          <cell r="H1312" t="str">
            <v xml:space="preserve">pç    </v>
          </cell>
          <cell r="I1312">
            <v>2</v>
          </cell>
          <cell r="J1312">
            <v>3.89</v>
          </cell>
          <cell r="K1312">
            <v>3.93</v>
          </cell>
          <cell r="L1312">
            <v>7.78</v>
          </cell>
        </row>
        <row r="1313">
          <cell r="D1313" t="str">
            <v xml:space="preserve">  G.104.            </v>
          </cell>
          <cell r="E1313" t="str">
            <v xml:space="preserve">      </v>
          </cell>
          <cell r="F1313" t="str">
            <v>6.1.3.</v>
          </cell>
          <cell r="G1313" t="str">
            <v xml:space="preserve">DIVERSOS  </v>
          </cell>
          <cell r="H1313" t="str">
            <v xml:space="preserve">      </v>
          </cell>
          <cell r="I1313">
            <v>0</v>
          </cell>
          <cell r="J1313">
            <v>0</v>
          </cell>
          <cell r="K1313">
            <v>0</v>
          </cell>
          <cell r="L1313">
            <v>0</v>
          </cell>
        </row>
        <row r="1314">
          <cell r="D1314" t="str">
            <v xml:space="preserve">  G.105.            </v>
          </cell>
          <cell r="E1314" t="str">
            <v>CP1718</v>
          </cell>
          <cell r="F1314" t="str">
            <v>6.1.3.1.</v>
          </cell>
          <cell r="G1314" t="str">
            <v xml:space="preserve">Vaso sanitário em louça  </v>
          </cell>
          <cell r="H1314" t="str">
            <v xml:space="preserve">pç    </v>
          </cell>
          <cell r="I1314">
            <v>2</v>
          </cell>
          <cell r="J1314">
            <v>64.63</v>
          </cell>
          <cell r="K1314">
            <v>53.89</v>
          </cell>
          <cell r="L1314">
            <v>129.26</v>
          </cell>
        </row>
        <row r="1315">
          <cell r="D1315" t="str">
            <v xml:space="preserve">  G.106.            </v>
          </cell>
          <cell r="E1315" t="str">
            <v>CP0704</v>
          </cell>
          <cell r="F1315" t="str">
            <v>6.1.3.2.</v>
          </cell>
          <cell r="G1315" t="str">
            <v xml:space="preserve">Lavatório sem coluna  </v>
          </cell>
          <cell r="H1315" t="str">
            <v xml:space="preserve">pç    </v>
          </cell>
          <cell r="I1315">
            <v>2</v>
          </cell>
          <cell r="J1315">
            <v>34.229999999999997</v>
          </cell>
          <cell r="K1315">
            <v>28.7</v>
          </cell>
          <cell r="L1315">
            <v>68.459999999999994</v>
          </cell>
        </row>
        <row r="1316">
          <cell r="D1316" t="str">
            <v xml:space="preserve">  G.107.            </v>
          </cell>
          <cell r="E1316" t="str">
            <v>CP2047</v>
          </cell>
          <cell r="F1316" t="str">
            <v>6.1.3.3.</v>
          </cell>
          <cell r="G1316" t="str">
            <v xml:space="preserve">Ligação flexível cromada DN 1/2  </v>
          </cell>
          <cell r="H1316" t="str">
            <v xml:space="preserve">pç    </v>
          </cell>
          <cell r="I1316">
            <v>2</v>
          </cell>
          <cell r="J1316">
            <v>10.51</v>
          </cell>
          <cell r="K1316">
            <v>8.77</v>
          </cell>
          <cell r="L1316">
            <v>21.02</v>
          </cell>
        </row>
        <row r="1317">
          <cell r="D1317" t="str">
            <v xml:space="preserve">  G.108.            </v>
          </cell>
          <cell r="E1317" t="str">
            <v xml:space="preserve">      </v>
          </cell>
          <cell r="F1317" t="str">
            <v>6.1.3.4.</v>
          </cell>
          <cell r="G1317" t="str">
            <v xml:space="preserve">Sifão:  </v>
          </cell>
          <cell r="H1317" t="str">
            <v xml:space="preserve">      </v>
          </cell>
          <cell r="I1317">
            <v>0</v>
          </cell>
          <cell r="J1317">
            <v>0</v>
          </cell>
          <cell r="K1317">
            <v>0</v>
          </cell>
          <cell r="L1317">
            <v>0</v>
          </cell>
        </row>
        <row r="1318">
          <cell r="D1318" t="str">
            <v xml:space="preserve">  G.109.            </v>
          </cell>
          <cell r="E1318" t="str">
            <v>CP0700</v>
          </cell>
          <cell r="F1318" t="str">
            <v>6.1.3.4.1</v>
          </cell>
          <cell r="G1318" t="str">
            <v xml:space="preserve">Sifão: para lavatório DN 1 x 1 1/2  </v>
          </cell>
          <cell r="H1318" t="str">
            <v xml:space="preserve">pç    </v>
          </cell>
          <cell r="I1318">
            <v>2</v>
          </cell>
          <cell r="J1318">
            <v>42.26</v>
          </cell>
          <cell r="K1318">
            <v>35.46</v>
          </cell>
          <cell r="L1318">
            <v>84.52</v>
          </cell>
        </row>
        <row r="1319">
          <cell r="D1319" t="str">
            <v xml:space="preserve">  G.110.            </v>
          </cell>
          <cell r="E1319" t="str">
            <v>CP1815</v>
          </cell>
          <cell r="F1319" t="str">
            <v>6.1.3.4.2</v>
          </cell>
          <cell r="G1319" t="str">
            <v xml:space="preserve">Sifão: para pia DN 1 1/2 x 1 1/2  </v>
          </cell>
          <cell r="H1319" t="str">
            <v xml:space="preserve">pç    </v>
          </cell>
          <cell r="I1319">
            <v>1</v>
          </cell>
          <cell r="J1319">
            <v>60.79</v>
          </cell>
          <cell r="K1319">
            <v>50.83</v>
          </cell>
          <cell r="L1319">
            <v>60.79</v>
          </cell>
        </row>
        <row r="1320">
          <cell r="D1320" t="str">
            <v xml:space="preserve">  G.111.            </v>
          </cell>
          <cell r="E1320" t="str">
            <v xml:space="preserve">      </v>
          </cell>
          <cell r="F1320" t="str">
            <v>6.1.3.5.</v>
          </cell>
          <cell r="G1320" t="str">
            <v xml:space="preserve">Conjunto de metais:  </v>
          </cell>
          <cell r="H1320" t="str">
            <v xml:space="preserve">      </v>
          </cell>
          <cell r="I1320">
            <v>0</v>
          </cell>
          <cell r="J1320">
            <v>0</v>
          </cell>
          <cell r="K1320">
            <v>0</v>
          </cell>
          <cell r="L1320">
            <v>0</v>
          </cell>
        </row>
        <row r="1321">
          <cell r="D1321" t="str">
            <v xml:space="preserve">  G.112.            </v>
          </cell>
          <cell r="E1321" t="str">
            <v>CP1769</v>
          </cell>
          <cell r="F1321" t="str">
            <v>6.1.3.5.1</v>
          </cell>
          <cell r="G1321" t="str">
            <v xml:space="preserve">Conjunto de metais: para lavatório com uma água  </v>
          </cell>
          <cell r="H1321" t="str">
            <v xml:space="preserve">pç    </v>
          </cell>
          <cell r="I1321">
            <v>2</v>
          </cell>
          <cell r="J1321">
            <v>133.80000000000001</v>
          </cell>
          <cell r="K1321">
            <v>111.82</v>
          </cell>
          <cell r="L1321">
            <v>267.60000000000002</v>
          </cell>
        </row>
        <row r="1322">
          <cell r="D1322" t="str">
            <v xml:space="preserve">  G.113.            </v>
          </cell>
          <cell r="E1322" t="str">
            <v>CP1730</v>
          </cell>
          <cell r="F1322" t="str">
            <v>6.1.3.5.2</v>
          </cell>
          <cell r="G1322" t="str">
            <v xml:space="preserve">Conjunto de metais: para pia com uma água  </v>
          </cell>
          <cell r="H1322" t="str">
            <v xml:space="preserve">pç    </v>
          </cell>
          <cell r="I1322">
            <v>1</v>
          </cell>
          <cell r="J1322">
            <v>126.02</v>
          </cell>
          <cell r="K1322">
            <v>180.03</v>
          </cell>
          <cell r="L1322">
            <v>126.02</v>
          </cell>
        </row>
        <row r="1323">
          <cell r="D1323" t="str">
            <v xml:space="preserve">  G.114.            </v>
          </cell>
          <cell r="E1323" t="str">
            <v xml:space="preserve">      </v>
          </cell>
          <cell r="F1323" t="str">
            <v>6.1.3.6.</v>
          </cell>
          <cell r="G1323" t="str">
            <v xml:space="preserve">Bojo em aço inox:  </v>
          </cell>
          <cell r="H1323" t="str">
            <v xml:space="preserve">      </v>
          </cell>
          <cell r="I1323">
            <v>0</v>
          </cell>
          <cell r="J1323">
            <v>0</v>
          </cell>
          <cell r="K1323">
            <v>0</v>
          </cell>
          <cell r="L1323">
            <v>0</v>
          </cell>
        </row>
        <row r="1324">
          <cell r="D1324" t="str">
            <v xml:space="preserve">  G.115.            </v>
          </cell>
          <cell r="E1324" t="str">
            <v>CP1738</v>
          </cell>
          <cell r="F1324" t="str">
            <v>6.1.3.6.1</v>
          </cell>
          <cell r="G1324" t="str">
            <v xml:space="preserve">Bojo em aço inox: No 2  </v>
          </cell>
          <cell r="H1324" t="str">
            <v xml:space="preserve">un    </v>
          </cell>
          <cell r="I1324">
            <v>1</v>
          </cell>
          <cell r="J1324">
            <v>146.63</v>
          </cell>
          <cell r="K1324">
            <v>209.47</v>
          </cell>
          <cell r="L1324">
            <v>146.63</v>
          </cell>
        </row>
        <row r="1325">
          <cell r="D1325" t="str">
            <v xml:space="preserve">  G.116.            </v>
          </cell>
          <cell r="E1325" t="str">
            <v>CP1728</v>
          </cell>
          <cell r="F1325" t="str">
            <v>6.1.3.7.</v>
          </cell>
          <cell r="G1325" t="str">
            <v xml:space="preserve">Ducha higiênica com registro  </v>
          </cell>
          <cell r="H1325" t="str">
            <v xml:space="preserve">un    </v>
          </cell>
          <cell r="I1325">
            <v>2</v>
          </cell>
          <cell r="J1325">
            <v>242</v>
          </cell>
          <cell r="K1325">
            <v>202.66</v>
          </cell>
          <cell r="L1325">
            <v>484</v>
          </cell>
        </row>
        <row r="1326">
          <cell r="D1326" t="str">
            <v xml:space="preserve">  G.117.            </v>
          </cell>
          <cell r="E1326" t="str">
            <v>CP1562</v>
          </cell>
          <cell r="F1326" t="str">
            <v>6.1.3.8.</v>
          </cell>
          <cell r="G1326" t="str">
            <v xml:space="preserve">Bebedouro elétrico  </v>
          </cell>
          <cell r="H1326" t="str">
            <v xml:space="preserve">un    </v>
          </cell>
          <cell r="I1326">
            <v>1</v>
          </cell>
          <cell r="J1326">
            <v>701.27</v>
          </cell>
          <cell r="K1326">
            <v>655</v>
          </cell>
          <cell r="L1326">
            <v>701.27</v>
          </cell>
        </row>
        <row r="1327">
          <cell r="D1327" t="str">
            <v xml:space="preserve">  G.118.            </v>
          </cell>
          <cell r="E1327" t="str">
            <v xml:space="preserve">      </v>
          </cell>
          <cell r="F1327" t="str">
            <v>6.1.3.9.</v>
          </cell>
          <cell r="G1327" t="str">
            <v xml:space="preserve">Registro de gaveta, em bronze, acabamento bruto:  </v>
          </cell>
          <cell r="H1327" t="str">
            <v xml:space="preserve">      </v>
          </cell>
          <cell r="I1327">
            <v>0</v>
          </cell>
          <cell r="J1327">
            <v>0</v>
          </cell>
          <cell r="K1327">
            <v>0</v>
          </cell>
          <cell r="L1327">
            <v>0</v>
          </cell>
        </row>
        <row r="1328">
          <cell r="D1328" t="str">
            <v xml:space="preserve">  G.119.            </v>
          </cell>
          <cell r="E1328" t="str">
            <v>CP0925</v>
          </cell>
          <cell r="F1328" t="str">
            <v>6.1.3.9.1</v>
          </cell>
          <cell r="G1328" t="str">
            <v xml:space="preserve">Registro de gaveta, em bronze, acabamento bruto: DN 2  </v>
          </cell>
          <cell r="H1328" t="str">
            <v xml:space="preserve">un    </v>
          </cell>
          <cell r="I1328">
            <v>1</v>
          </cell>
          <cell r="J1328">
            <v>24.25</v>
          </cell>
          <cell r="K1328">
            <v>20.350000000000001</v>
          </cell>
          <cell r="L1328">
            <v>24.25</v>
          </cell>
        </row>
        <row r="1329">
          <cell r="D1329" t="str">
            <v xml:space="preserve">  G.120.            </v>
          </cell>
          <cell r="E1329" t="str">
            <v>CP0928</v>
          </cell>
          <cell r="F1329" t="str">
            <v>6.1.3.9.2</v>
          </cell>
          <cell r="G1329" t="str">
            <v xml:space="preserve">Registro de gaveta, em bronze, acabamento bruto: DN 1 1/4  </v>
          </cell>
          <cell r="H1329" t="str">
            <v xml:space="preserve">un    </v>
          </cell>
          <cell r="I1329">
            <v>1</v>
          </cell>
          <cell r="J1329">
            <v>67.209999999999994</v>
          </cell>
          <cell r="K1329">
            <v>56.41</v>
          </cell>
          <cell r="L1329">
            <v>67.209999999999994</v>
          </cell>
        </row>
        <row r="1330">
          <cell r="D1330" t="str">
            <v xml:space="preserve">  G.121.            </v>
          </cell>
          <cell r="E1330" t="str">
            <v>CP0929</v>
          </cell>
          <cell r="F1330" t="str">
            <v>6.1.3.9.3</v>
          </cell>
          <cell r="G1330" t="str">
            <v xml:space="preserve">Registro de gaveta, em bronze, acabamento bruto: DN 1  </v>
          </cell>
          <cell r="H1330" t="str">
            <v xml:space="preserve">un    </v>
          </cell>
          <cell r="I1330">
            <v>1</v>
          </cell>
          <cell r="J1330">
            <v>16.559999999999999</v>
          </cell>
          <cell r="K1330">
            <v>13.9</v>
          </cell>
          <cell r="L1330">
            <v>16.559999999999999</v>
          </cell>
        </row>
        <row r="1331">
          <cell r="D1331" t="str">
            <v xml:space="preserve">  G.122.            </v>
          </cell>
          <cell r="E1331" t="str">
            <v xml:space="preserve">      </v>
          </cell>
          <cell r="F1331" t="str">
            <v>6.1.3.10.</v>
          </cell>
          <cell r="G1331" t="str">
            <v xml:space="preserve">Registro de gaveta, em bronze, acabamento cromado:  </v>
          </cell>
          <cell r="H1331" t="str">
            <v xml:space="preserve">      </v>
          </cell>
          <cell r="I1331">
            <v>0</v>
          </cell>
          <cell r="J1331">
            <v>0</v>
          </cell>
          <cell r="K1331">
            <v>0</v>
          </cell>
          <cell r="L1331">
            <v>0</v>
          </cell>
        </row>
        <row r="1332">
          <cell r="D1332" t="str">
            <v xml:space="preserve">  G.123.            </v>
          </cell>
          <cell r="E1332" t="str">
            <v>CP1791</v>
          </cell>
          <cell r="F1332" t="str">
            <v>6.1.3.10.1</v>
          </cell>
          <cell r="G1332" t="str">
            <v xml:space="preserve">Registro de gaveta, em bronze, acabamento cromado: DN 1 1/2  </v>
          </cell>
          <cell r="H1332" t="str">
            <v xml:space="preserve">un    </v>
          </cell>
          <cell r="I1332">
            <v>2</v>
          </cell>
          <cell r="J1332">
            <v>122.21</v>
          </cell>
          <cell r="K1332">
            <v>101.79</v>
          </cell>
          <cell r="L1332">
            <v>244.42</v>
          </cell>
        </row>
        <row r="1333">
          <cell r="D1333" t="str">
            <v xml:space="preserve">  G.124.            </v>
          </cell>
          <cell r="E1333" t="str">
            <v>CP1833</v>
          </cell>
          <cell r="F1333" t="str">
            <v>6.1.3.10.2</v>
          </cell>
          <cell r="G1333" t="str">
            <v xml:space="preserve">Registro de gaveta, em bronze, acabamento cromado: DN 3/4  </v>
          </cell>
          <cell r="H1333" t="str">
            <v xml:space="preserve">un    </v>
          </cell>
          <cell r="I1333">
            <v>2</v>
          </cell>
          <cell r="J1333">
            <v>55.86</v>
          </cell>
          <cell r="K1333">
            <v>46.85</v>
          </cell>
          <cell r="L1333">
            <v>111.72</v>
          </cell>
        </row>
        <row r="1334">
          <cell r="D1334" t="str">
            <v xml:space="preserve">  G.125.            </v>
          </cell>
          <cell r="E1334" t="str">
            <v xml:space="preserve">      </v>
          </cell>
          <cell r="F1334" t="str">
            <v>6.1.3.11.</v>
          </cell>
          <cell r="G1334" t="str">
            <v xml:space="preserve">Torneira de bóia:  </v>
          </cell>
          <cell r="H1334" t="str">
            <v xml:space="preserve">      </v>
          </cell>
          <cell r="I1334">
            <v>0</v>
          </cell>
          <cell r="J1334">
            <v>0</v>
          </cell>
          <cell r="K1334">
            <v>0</v>
          </cell>
          <cell r="L1334">
            <v>0</v>
          </cell>
        </row>
        <row r="1335">
          <cell r="D1335" t="str">
            <v xml:space="preserve">  G.126.            </v>
          </cell>
          <cell r="E1335" t="str">
            <v>CP1830</v>
          </cell>
          <cell r="F1335" t="str">
            <v>6.1.3.11.1</v>
          </cell>
          <cell r="G1335" t="str">
            <v xml:space="preserve">Torneira de bóia: DN 1  </v>
          </cell>
          <cell r="H1335" t="str">
            <v xml:space="preserve">un    </v>
          </cell>
          <cell r="I1335">
            <v>1</v>
          </cell>
          <cell r="J1335">
            <v>60.25</v>
          </cell>
          <cell r="K1335">
            <v>50.33</v>
          </cell>
          <cell r="L1335">
            <v>60.25</v>
          </cell>
        </row>
        <row r="1336">
          <cell r="D1336" t="str">
            <v xml:space="preserve">  G.127.            </v>
          </cell>
          <cell r="E1336" t="str">
            <v>CP1871</v>
          </cell>
          <cell r="F1336" t="str">
            <v>6.1.3.11.2</v>
          </cell>
          <cell r="G1336" t="str">
            <v xml:space="preserve">Torneira de bóia: DN 3/4  </v>
          </cell>
          <cell r="H1336" t="str">
            <v xml:space="preserve">un    </v>
          </cell>
          <cell r="I1336">
            <v>1</v>
          </cell>
          <cell r="J1336">
            <v>31.12</v>
          </cell>
          <cell r="K1336">
            <v>26.12</v>
          </cell>
          <cell r="L1336">
            <v>31.12</v>
          </cell>
        </row>
        <row r="1337">
          <cell r="D1337" t="str">
            <v xml:space="preserve">  G.128.            </v>
          </cell>
          <cell r="E1337" t="str">
            <v xml:space="preserve">      </v>
          </cell>
          <cell r="F1337" t="str">
            <v>6.1.3.12.</v>
          </cell>
          <cell r="G1337" t="str">
            <v xml:space="preserve">Válvula de descarga:  </v>
          </cell>
          <cell r="H1337" t="str">
            <v xml:space="preserve">      </v>
          </cell>
          <cell r="I1337">
            <v>0</v>
          </cell>
          <cell r="J1337">
            <v>0</v>
          </cell>
          <cell r="K1337">
            <v>0</v>
          </cell>
          <cell r="L1337">
            <v>0</v>
          </cell>
        </row>
        <row r="1338">
          <cell r="D1338" t="str">
            <v xml:space="preserve">  G.129.            </v>
          </cell>
          <cell r="E1338" t="str">
            <v>CP0708</v>
          </cell>
          <cell r="F1338" t="str">
            <v>6.1.3.12.1</v>
          </cell>
          <cell r="G1338" t="str">
            <v xml:space="preserve">Válvula de descarga: DN 1 1/2  </v>
          </cell>
          <cell r="H1338" t="str">
            <v xml:space="preserve">un    </v>
          </cell>
          <cell r="I1338">
            <v>2</v>
          </cell>
          <cell r="J1338">
            <v>117.34</v>
          </cell>
          <cell r="K1338">
            <v>98.6</v>
          </cell>
          <cell r="L1338">
            <v>234.68</v>
          </cell>
        </row>
        <row r="1339">
          <cell r="D1339" t="str">
            <v xml:space="preserve">  G.130.            </v>
          </cell>
          <cell r="E1339" t="str">
            <v xml:space="preserve">      </v>
          </cell>
          <cell r="F1339" t="str">
            <v>6.2.</v>
          </cell>
          <cell r="G1339" t="str">
            <v xml:space="preserve">Assentamento de Tubos, Peças, Conexões e Aparelhos Hidráulicos  </v>
          </cell>
          <cell r="H1339" t="str">
            <v xml:space="preserve">      </v>
          </cell>
          <cell r="I1339">
            <v>0</v>
          </cell>
          <cell r="J1339">
            <v>0</v>
          </cell>
          <cell r="K1339">
            <v>0</v>
          </cell>
          <cell r="L1339">
            <v>0</v>
          </cell>
        </row>
        <row r="1340">
          <cell r="D1340" t="str">
            <v xml:space="preserve">  G.131.            </v>
          </cell>
          <cell r="E1340" t="str">
            <v xml:space="preserve">      </v>
          </cell>
          <cell r="F1340" t="str">
            <v>6.2.1.</v>
          </cell>
          <cell r="G1340" t="str">
            <v xml:space="preserve">PVC - ESGOTO  </v>
          </cell>
          <cell r="H1340" t="str">
            <v xml:space="preserve">      </v>
          </cell>
          <cell r="I1340">
            <v>0</v>
          </cell>
          <cell r="J1340">
            <v>0</v>
          </cell>
          <cell r="K1340">
            <v>0</v>
          </cell>
          <cell r="L1340">
            <v>0</v>
          </cell>
        </row>
        <row r="1341">
          <cell r="D1341" t="str">
            <v xml:space="preserve">  G.132.            </v>
          </cell>
          <cell r="E1341" t="str">
            <v xml:space="preserve">      </v>
          </cell>
          <cell r="F1341" t="str">
            <v>6.2.1.1.</v>
          </cell>
          <cell r="G1341" t="str">
            <v xml:space="preserve">Tubo e conexões de PVC tipo esgoto:  </v>
          </cell>
          <cell r="H1341" t="str">
            <v xml:space="preserve">      </v>
          </cell>
          <cell r="I1341">
            <v>0</v>
          </cell>
          <cell r="J1341">
            <v>0</v>
          </cell>
          <cell r="K1341">
            <v>0</v>
          </cell>
          <cell r="L1341">
            <v>0</v>
          </cell>
        </row>
        <row r="1342">
          <cell r="D1342" t="str">
            <v xml:space="preserve">  G.133.            </v>
          </cell>
          <cell r="E1342" t="str">
            <v>CP4604</v>
          </cell>
          <cell r="F1342" t="str">
            <v>6.2.1.1.1</v>
          </cell>
          <cell r="G1342" t="str">
            <v xml:space="preserve">Tubo e conexões de PVC tipo esgoto: DN 100  </v>
          </cell>
          <cell r="H1342" t="str">
            <v xml:space="preserve">m     </v>
          </cell>
          <cell r="I1342">
            <v>192</v>
          </cell>
          <cell r="J1342">
            <v>11.21</v>
          </cell>
          <cell r="K1342">
            <v>9.5299999999999994</v>
          </cell>
          <cell r="L1342">
            <v>2152.3200000000002</v>
          </cell>
        </row>
        <row r="1343">
          <cell r="D1343" t="str">
            <v xml:space="preserve">  G.134.            </v>
          </cell>
          <cell r="E1343" t="str">
            <v>CP0570</v>
          </cell>
          <cell r="F1343" t="str">
            <v>6.2.1.1.2</v>
          </cell>
          <cell r="G1343" t="str">
            <v xml:space="preserve">Tubo e conexões de PVC tipo esgoto: DN 50  </v>
          </cell>
          <cell r="H1343" t="str">
            <v xml:space="preserve">m     </v>
          </cell>
          <cell r="I1343">
            <v>12</v>
          </cell>
          <cell r="J1343">
            <v>5.82</v>
          </cell>
          <cell r="K1343">
            <v>6.36</v>
          </cell>
          <cell r="L1343">
            <v>69.84</v>
          </cell>
        </row>
        <row r="1344">
          <cell r="D1344" t="str">
            <v xml:space="preserve">  G.135.            </v>
          </cell>
          <cell r="E1344" t="str">
            <v>CP0575</v>
          </cell>
          <cell r="F1344" t="str">
            <v>6.2.1.1.3</v>
          </cell>
          <cell r="G1344" t="str">
            <v xml:space="preserve">Tubo e conexões de PVC tipo esgoto: DN 40  </v>
          </cell>
          <cell r="H1344" t="str">
            <v xml:space="preserve">m     </v>
          </cell>
          <cell r="I1344">
            <v>12</v>
          </cell>
          <cell r="J1344">
            <v>5.82</v>
          </cell>
          <cell r="K1344">
            <v>6.36</v>
          </cell>
          <cell r="L1344">
            <v>69.84</v>
          </cell>
        </row>
        <row r="1345">
          <cell r="D1345" t="str">
            <v xml:space="preserve">  G.136.            </v>
          </cell>
          <cell r="E1345" t="str">
            <v xml:space="preserve">      </v>
          </cell>
          <cell r="F1345" t="str">
            <v>6.2.2.</v>
          </cell>
          <cell r="G1345" t="str">
            <v xml:space="preserve">Caixa sifonada, com grelha cromada, completa:  </v>
          </cell>
          <cell r="H1345" t="str">
            <v xml:space="preserve">      </v>
          </cell>
          <cell r="I1345">
            <v>0</v>
          </cell>
          <cell r="J1345">
            <v>0</v>
          </cell>
          <cell r="K1345">
            <v>0</v>
          </cell>
          <cell r="L1345">
            <v>0</v>
          </cell>
        </row>
        <row r="1346">
          <cell r="D1346" t="str">
            <v xml:space="preserve">  G.137.            </v>
          </cell>
          <cell r="E1346" t="str">
            <v>CP0457</v>
          </cell>
          <cell r="F1346" t="str">
            <v>6.2.2.1.</v>
          </cell>
          <cell r="G1346" t="str">
            <v xml:space="preserve">Caixa sifonada, com grelha cromada, completa: 100 x 100 x 50  </v>
          </cell>
          <cell r="H1346" t="str">
            <v xml:space="preserve">pç    </v>
          </cell>
          <cell r="I1346">
            <v>6</v>
          </cell>
          <cell r="J1346">
            <v>9.33</v>
          </cell>
          <cell r="K1346">
            <v>20.67</v>
          </cell>
          <cell r="L1346">
            <v>55.98</v>
          </cell>
        </row>
        <row r="1347">
          <cell r="D1347" t="str">
            <v xml:space="preserve">  G.138.            </v>
          </cell>
          <cell r="E1347" t="str">
            <v xml:space="preserve">      </v>
          </cell>
          <cell r="F1347" t="str">
            <v>6.2.3.</v>
          </cell>
          <cell r="G1347" t="str">
            <v xml:space="preserve">Tubos e Conexões de PVC soldável:  </v>
          </cell>
          <cell r="H1347" t="str">
            <v xml:space="preserve">      </v>
          </cell>
          <cell r="I1347">
            <v>0</v>
          </cell>
          <cell r="J1347">
            <v>0</v>
          </cell>
          <cell r="K1347">
            <v>0</v>
          </cell>
          <cell r="L1347">
            <v>0</v>
          </cell>
        </row>
        <row r="1348">
          <cell r="D1348" t="str">
            <v xml:space="preserve">  G.139.            </v>
          </cell>
          <cell r="E1348" t="str">
            <v>CP0575</v>
          </cell>
          <cell r="F1348" t="str">
            <v>6.2.3.1.</v>
          </cell>
          <cell r="G1348" t="str">
            <v xml:space="preserve">Tubos e Conexões de PVC soldável: DN 20  </v>
          </cell>
          <cell r="H1348" t="str">
            <v xml:space="preserve">m     </v>
          </cell>
          <cell r="I1348">
            <v>12</v>
          </cell>
          <cell r="J1348">
            <v>5.82</v>
          </cell>
          <cell r="K1348">
            <v>6.85</v>
          </cell>
          <cell r="L1348">
            <v>69.84</v>
          </cell>
        </row>
        <row r="1349">
          <cell r="D1349" t="str">
            <v xml:space="preserve">  G.140.            </v>
          </cell>
          <cell r="E1349" t="str">
            <v>CP0575</v>
          </cell>
          <cell r="F1349" t="str">
            <v>6.2.3.2.</v>
          </cell>
          <cell r="G1349" t="str">
            <v xml:space="preserve">Tubos e Conexões de PVC soldável: DN 25  </v>
          </cell>
          <cell r="H1349" t="str">
            <v xml:space="preserve">m     </v>
          </cell>
          <cell r="I1349">
            <v>24</v>
          </cell>
          <cell r="J1349">
            <v>5.82</v>
          </cell>
          <cell r="K1349">
            <v>6.85</v>
          </cell>
          <cell r="L1349">
            <v>139.68</v>
          </cell>
        </row>
        <row r="1350">
          <cell r="D1350" t="str">
            <v xml:space="preserve">  G.141.            </v>
          </cell>
          <cell r="E1350" t="str">
            <v>CP0575</v>
          </cell>
          <cell r="F1350" t="str">
            <v>6.2.3.3.</v>
          </cell>
          <cell r="G1350" t="str">
            <v xml:space="preserve">Tubos e Conexões de PVC soldável: DN 32  </v>
          </cell>
          <cell r="H1350" t="str">
            <v xml:space="preserve">m     </v>
          </cell>
          <cell r="I1350">
            <v>6</v>
          </cell>
          <cell r="J1350">
            <v>5.82</v>
          </cell>
          <cell r="K1350">
            <v>7.95</v>
          </cell>
          <cell r="L1350">
            <v>34.92</v>
          </cell>
        </row>
        <row r="1351">
          <cell r="D1351" t="str">
            <v xml:space="preserve">  G.142.            </v>
          </cell>
          <cell r="E1351" t="str">
            <v>CP0570</v>
          </cell>
          <cell r="F1351" t="str">
            <v>6.2.3.4.</v>
          </cell>
          <cell r="G1351" t="str">
            <v xml:space="preserve">Tubos e Conexões de PVC soldável: DN 40  </v>
          </cell>
          <cell r="H1351" t="str">
            <v xml:space="preserve">m     </v>
          </cell>
          <cell r="I1351">
            <v>24</v>
          </cell>
          <cell r="J1351">
            <v>5.82</v>
          </cell>
          <cell r="K1351">
            <v>8.44</v>
          </cell>
          <cell r="L1351">
            <v>139.68</v>
          </cell>
        </row>
        <row r="1352">
          <cell r="D1352" t="str">
            <v xml:space="preserve">  G.143.            </v>
          </cell>
          <cell r="E1352" t="str">
            <v>CP0154</v>
          </cell>
          <cell r="F1352" t="str">
            <v>6.2.3.5.</v>
          </cell>
          <cell r="G1352" t="str">
            <v xml:space="preserve">Tubos e Conexões de PVC soldável: DN 50  </v>
          </cell>
          <cell r="H1352" t="str">
            <v xml:space="preserve">m     </v>
          </cell>
          <cell r="I1352">
            <v>36</v>
          </cell>
          <cell r="J1352">
            <v>1.23</v>
          </cell>
          <cell r="K1352">
            <v>10.02</v>
          </cell>
          <cell r="L1352">
            <v>44.28</v>
          </cell>
        </row>
        <row r="1353">
          <cell r="D1353" t="str">
            <v xml:space="preserve">  G.144.            </v>
          </cell>
          <cell r="E1353" t="str">
            <v>CP0154</v>
          </cell>
          <cell r="F1353" t="str">
            <v>6.2.3.6.</v>
          </cell>
          <cell r="G1353" t="str">
            <v xml:space="preserve">Tubos e Conexões de PVC soldável: DN 60  </v>
          </cell>
          <cell r="H1353" t="str">
            <v xml:space="preserve">m     </v>
          </cell>
          <cell r="I1353">
            <v>6</v>
          </cell>
          <cell r="J1353">
            <v>1.23</v>
          </cell>
          <cell r="K1353">
            <v>11.61</v>
          </cell>
          <cell r="L1353">
            <v>7.38</v>
          </cell>
        </row>
        <row r="1354">
          <cell r="D1354" t="str">
            <v xml:space="preserve">  G.145.            </v>
          </cell>
          <cell r="E1354" t="str">
            <v xml:space="preserve">      </v>
          </cell>
          <cell r="F1354" t="str">
            <v>6.2.4.</v>
          </cell>
          <cell r="G1354" t="str">
            <v xml:space="preserve">Aparelhos Hidráulicos  </v>
          </cell>
          <cell r="H1354" t="str">
            <v xml:space="preserve">      </v>
          </cell>
          <cell r="I1354">
            <v>0</v>
          </cell>
          <cell r="J1354">
            <v>0</v>
          </cell>
          <cell r="K1354">
            <v>0</v>
          </cell>
          <cell r="L1354">
            <v>0</v>
          </cell>
        </row>
        <row r="1355">
          <cell r="D1355" t="str">
            <v xml:space="preserve">  G.146.            </v>
          </cell>
          <cell r="E1355" t="str">
            <v>CP0467</v>
          </cell>
          <cell r="F1355" t="str">
            <v>6.2.4.1.</v>
          </cell>
          <cell r="G1355" t="str">
            <v xml:space="preserve">Vaso sanitário em louça  </v>
          </cell>
          <cell r="H1355" t="str">
            <v xml:space="preserve">pç    </v>
          </cell>
          <cell r="I1355">
            <v>2</v>
          </cell>
          <cell r="J1355">
            <v>63.16</v>
          </cell>
          <cell r="K1355">
            <v>53.31</v>
          </cell>
          <cell r="L1355">
            <v>126.32</v>
          </cell>
        </row>
        <row r="1356">
          <cell r="D1356" t="str">
            <v xml:space="preserve">  G.147.            </v>
          </cell>
          <cell r="E1356" t="str">
            <v>CP0453</v>
          </cell>
          <cell r="F1356" t="str">
            <v>6.2.4.2.</v>
          </cell>
          <cell r="G1356" t="str">
            <v xml:space="preserve">Lavatório sem coluna  </v>
          </cell>
          <cell r="H1356" t="str">
            <v xml:space="preserve">pç    </v>
          </cell>
          <cell r="I1356">
            <v>2</v>
          </cell>
          <cell r="J1356">
            <v>20.079999999999998</v>
          </cell>
          <cell r="K1356">
            <v>70.05</v>
          </cell>
          <cell r="L1356">
            <v>40.159999999999997</v>
          </cell>
        </row>
        <row r="1357">
          <cell r="D1357" t="str">
            <v xml:space="preserve">  G.148.            </v>
          </cell>
          <cell r="E1357" t="str">
            <v>CP0453</v>
          </cell>
          <cell r="F1357" t="str">
            <v>6.2.4.3.</v>
          </cell>
          <cell r="G1357" t="str">
            <v xml:space="preserve">Bebedouro elétrico  </v>
          </cell>
          <cell r="H1357" t="str">
            <v xml:space="preserve">un    </v>
          </cell>
          <cell r="I1357">
            <v>1</v>
          </cell>
          <cell r="J1357">
            <v>20.079999999999998</v>
          </cell>
          <cell r="K1357">
            <v>16.760000000000002</v>
          </cell>
          <cell r="L1357">
            <v>20.079999999999998</v>
          </cell>
        </row>
        <row r="1358">
          <cell r="D1358" t="str">
            <v xml:space="preserve">  G.149.            </v>
          </cell>
          <cell r="E1358" t="str">
            <v xml:space="preserve">      </v>
          </cell>
          <cell r="F1358" t="str">
            <v>6.2.5.</v>
          </cell>
          <cell r="G1358" t="str">
            <v xml:space="preserve">Conjunto de metais  </v>
          </cell>
          <cell r="H1358" t="str">
            <v xml:space="preserve">      </v>
          </cell>
          <cell r="I1358">
            <v>0</v>
          </cell>
          <cell r="J1358">
            <v>0</v>
          </cell>
          <cell r="K1358">
            <v>0</v>
          </cell>
          <cell r="L1358">
            <v>0</v>
          </cell>
        </row>
        <row r="1359">
          <cell r="D1359" t="str">
            <v xml:space="preserve">  G.150.            </v>
          </cell>
          <cell r="E1359" t="str">
            <v>CP0528</v>
          </cell>
          <cell r="F1359" t="str">
            <v>6.2.5.1.</v>
          </cell>
          <cell r="G1359" t="str">
            <v xml:space="preserve">Conjunto de metais Para lavatório  </v>
          </cell>
          <cell r="H1359" t="str">
            <v xml:space="preserve">un    </v>
          </cell>
          <cell r="I1359">
            <v>2</v>
          </cell>
          <cell r="J1359">
            <v>28.37</v>
          </cell>
          <cell r="K1359">
            <v>23.99</v>
          </cell>
          <cell r="L1359">
            <v>56.74</v>
          </cell>
        </row>
        <row r="1360">
          <cell r="D1360" t="str">
            <v xml:space="preserve">  G.151.            </v>
          </cell>
          <cell r="E1360" t="str">
            <v>CP0528</v>
          </cell>
          <cell r="F1360" t="str">
            <v>6.2.5.2.</v>
          </cell>
          <cell r="G1360" t="str">
            <v xml:space="preserve">Conjunto de metais Para pia  </v>
          </cell>
          <cell r="H1360" t="str">
            <v xml:space="preserve">un    </v>
          </cell>
          <cell r="I1360">
            <v>1</v>
          </cell>
          <cell r="J1360">
            <v>28.37</v>
          </cell>
          <cell r="K1360">
            <v>23.99</v>
          </cell>
          <cell r="L1360">
            <v>28.37</v>
          </cell>
        </row>
        <row r="1361">
          <cell r="D1361" t="str">
            <v xml:space="preserve">  G.152.            </v>
          </cell>
          <cell r="E1361" t="str">
            <v xml:space="preserve">      </v>
          </cell>
          <cell r="F1361" t="str">
            <v>6.2.6.</v>
          </cell>
          <cell r="G1361" t="str">
            <v xml:space="preserve">Registro de gaveta:  </v>
          </cell>
          <cell r="H1361" t="str">
            <v xml:space="preserve">      </v>
          </cell>
          <cell r="I1361">
            <v>0</v>
          </cell>
          <cell r="J1361">
            <v>0</v>
          </cell>
          <cell r="K1361">
            <v>0</v>
          </cell>
          <cell r="L1361">
            <v>0</v>
          </cell>
        </row>
        <row r="1362">
          <cell r="D1362" t="str">
            <v xml:space="preserve">  G.153.            </v>
          </cell>
          <cell r="E1362" t="str">
            <v>CP0435</v>
          </cell>
          <cell r="F1362" t="str">
            <v>6.2.6.1.</v>
          </cell>
          <cell r="G1362" t="str">
            <v xml:space="preserve">Registro de gaveta: DN 2  </v>
          </cell>
          <cell r="H1362" t="str">
            <v xml:space="preserve">un    </v>
          </cell>
          <cell r="I1362">
            <v>1</v>
          </cell>
          <cell r="J1362">
            <v>9.81</v>
          </cell>
          <cell r="K1362">
            <v>16.41</v>
          </cell>
          <cell r="L1362">
            <v>9.81</v>
          </cell>
        </row>
        <row r="1363">
          <cell r="D1363" t="str">
            <v xml:space="preserve">  G.154.            </v>
          </cell>
          <cell r="E1363" t="str">
            <v>CP0458</v>
          </cell>
          <cell r="F1363" t="str">
            <v>6.2.6.2.</v>
          </cell>
          <cell r="G1363" t="str">
            <v xml:space="preserve">Registro de gaveta: DN 1 1/2  </v>
          </cell>
          <cell r="H1363" t="str">
            <v xml:space="preserve">un    </v>
          </cell>
          <cell r="I1363">
            <v>2</v>
          </cell>
          <cell r="J1363">
            <v>19.32</v>
          </cell>
          <cell r="K1363">
            <v>16.32</v>
          </cell>
          <cell r="L1363">
            <v>38.64</v>
          </cell>
        </row>
        <row r="1364">
          <cell r="D1364" t="str">
            <v xml:space="preserve">  G.155.            </v>
          </cell>
          <cell r="E1364" t="str">
            <v>CP0458</v>
          </cell>
          <cell r="F1364" t="str">
            <v>6.2.6.3.</v>
          </cell>
          <cell r="G1364" t="str">
            <v xml:space="preserve">Registro de gaveta: DN 1 1/4  </v>
          </cell>
          <cell r="H1364" t="str">
            <v xml:space="preserve">un    </v>
          </cell>
          <cell r="I1364">
            <v>1</v>
          </cell>
          <cell r="J1364">
            <v>19.32</v>
          </cell>
          <cell r="K1364">
            <v>17.399999999999999</v>
          </cell>
          <cell r="L1364">
            <v>19.32</v>
          </cell>
        </row>
        <row r="1365">
          <cell r="D1365" t="str">
            <v xml:space="preserve">  G.156.            </v>
          </cell>
          <cell r="E1365" t="str">
            <v>CP0518</v>
          </cell>
          <cell r="F1365" t="str">
            <v>6.2.6.4.</v>
          </cell>
          <cell r="G1365" t="str">
            <v xml:space="preserve">Registro de gaveta: DN 1  </v>
          </cell>
          <cell r="H1365" t="str">
            <v xml:space="preserve">un    </v>
          </cell>
          <cell r="I1365">
            <v>1</v>
          </cell>
          <cell r="J1365">
            <v>18.5</v>
          </cell>
          <cell r="K1365">
            <v>15.45</v>
          </cell>
          <cell r="L1365">
            <v>18.5</v>
          </cell>
        </row>
        <row r="1366">
          <cell r="D1366" t="str">
            <v xml:space="preserve">  G.157.            </v>
          </cell>
          <cell r="E1366" t="str">
            <v>CP0457</v>
          </cell>
          <cell r="F1366" t="str">
            <v>6.2.9.6.</v>
          </cell>
          <cell r="G1366" t="str">
            <v xml:space="preserve">Registro de gaveta: DN 3/4  </v>
          </cell>
          <cell r="H1366" t="str">
            <v xml:space="preserve">un    </v>
          </cell>
          <cell r="I1366">
            <v>2</v>
          </cell>
          <cell r="J1366">
            <v>9.33</v>
          </cell>
          <cell r="K1366">
            <v>12.26</v>
          </cell>
          <cell r="L1366">
            <v>18.66</v>
          </cell>
        </row>
        <row r="1367">
          <cell r="D1367" t="str">
            <v xml:space="preserve">  G.158.            </v>
          </cell>
          <cell r="E1367" t="str">
            <v xml:space="preserve">      </v>
          </cell>
          <cell r="F1367" t="str">
            <v>7.</v>
          </cell>
          <cell r="G1367" t="str">
            <v xml:space="preserve">Fornecimento de Materiais para Instalações de Processo  </v>
          </cell>
          <cell r="H1367" t="str">
            <v xml:space="preserve">      </v>
          </cell>
          <cell r="I1367">
            <v>0</v>
          </cell>
          <cell r="J1367">
            <v>0</v>
          </cell>
          <cell r="K1367">
            <v>0</v>
          </cell>
          <cell r="L1367">
            <v>0</v>
          </cell>
        </row>
        <row r="1368">
          <cell r="D1368" t="str">
            <v xml:space="preserve">  G.159.            </v>
          </cell>
          <cell r="E1368" t="str">
            <v xml:space="preserve">      </v>
          </cell>
          <cell r="F1368" t="str">
            <v>7.1.</v>
          </cell>
          <cell r="G1368" t="str">
            <v xml:space="preserve">Tubos em polipropileno soldáveis conforme norma DIN-8077, pressão nominal de 10 kg/cm², TUBELLI ou similar  </v>
          </cell>
          <cell r="H1368" t="str">
            <v xml:space="preserve">      </v>
          </cell>
          <cell r="I1368">
            <v>0</v>
          </cell>
          <cell r="J1368">
            <v>0</v>
          </cell>
          <cell r="K1368">
            <v>0</v>
          </cell>
          <cell r="L1368">
            <v>0</v>
          </cell>
        </row>
        <row r="1369">
          <cell r="D1369" t="str">
            <v xml:space="preserve">  G.160.            </v>
          </cell>
          <cell r="E1369" t="str">
            <v>CP0738</v>
          </cell>
          <cell r="F1369" t="str">
            <v>7.1.1.</v>
          </cell>
          <cell r="G1369" t="str">
            <v xml:space="preserve">Tubos em polipropileno soldáveis conforme norma DIN-8077, pressão nominal de 10 kg/cm², TUBELLI ou similar Tubo DN 60  </v>
          </cell>
          <cell r="H1369" t="str">
            <v xml:space="preserve">m     </v>
          </cell>
          <cell r="I1369">
            <v>18</v>
          </cell>
          <cell r="J1369">
            <v>11.21</v>
          </cell>
          <cell r="K1369">
            <v>9.39</v>
          </cell>
          <cell r="L1369">
            <v>201.78</v>
          </cell>
        </row>
        <row r="1370">
          <cell r="D1370" t="str">
            <v xml:space="preserve">  G.161.            </v>
          </cell>
          <cell r="E1370" t="str">
            <v>CP0742</v>
          </cell>
          <cell r="F1370" t="str">
            <v>7.1.2.</v>
          </cell>
          <cell r="G1370" t="str">
            <v xml:space="preserve">Tubos em polipropileno soldáveis conforme norma DIN-8077, pressão nominal de 10 kg/cm², TUBELLI ou similar Tubo DN 40  </v>
          </cell>
          <cell r="H1370" t="str">
            <v xml:space="preserve">m     </v>
          </cell>
          <cell r="I1370">
            <v>12</v>
          </cell>
          <cell r="J1370">
            <v>4.5999999999999996</v>
          </cell>
          <cell r="K1370">
            <v>3.84</v>
          </cell>
          <cell r="L1370">
            <v>55.2</v>
          </cell>
        </row>
        <row r="1371">
          <cell r="D1371" t="str">
            <v xml:space="preserve">  G.162.            </v>
          </cell>
          <cell r="E1371" t="str">
            <v xml:space="preserve">      </v>
          </cell>
          <cell r="F1371" t="str">
            <v>7.2.</v>
          </cell>
          <cell r="G1371" t="str">
            <v xml:space="preserve">Conexões em polipropileno, pressão nominal de 10 kg/cm², TUBELLI ou similar  </v>
          </cell>
          <cell r="H1371" t="str">
            <v xml:space="preserve">      </v>
          </cell>
          <cell r="I1371">
            <v>0</v>
          </cell>
          <cell r="J1371">
            <v>0</v>
          </cell>
          <cell r="K1371">
            <v>0</v>
          </cell>
          <cell r="L1371">
            <v>0</v>
          </cell>
        </row>
        <row r="1372">
          <cell r="D1372" t="str">
            <v xml:space="preserve">  G.163.            </v>
          </cell>
          <cell r="E1372" t="str">
            <v>CP1807</v>
          </cell>
          <cell r="F1372" t="str">
            <v>7.2.1.</v>
          </cell>
          <cell r="G1372" t="str">
            <v xml:space="preserve">Conexões em polipropileno, pressão nominal de 10 kg/cm², TUBELLI ou similar Flange soldável DN 60  </v>
          </cell>
          <cell r="H1372" t="str">
            <v xml:space="preserve">pç    </v>
          </cell>
          <cell r="I1372">
            <v>4</v>
          </cell>
          <cell r="J1372">
            <v>46.24</v>
          </cell>
          <cell r="K1372">
            <v>42.04</v>
          </cell>
          <cell r="L1372">
            <v>184.96</v>
          </cell>
        </row>
        <row r="1373">
          <cell r="D1373" t="str">
            <v xml:space="preserve">  G.164.            </v>
          </cell>
          <cell r="E1373" t="str">
            <v>CP2023</v>
          </cell>
          <cell r="F1373" t="str">
            <v>7.2.2.</v>
          </cell>
          <cell r="G1373" t="str">
            <v xml:space="preserve">Conexões em polipropileno, pressão nominal de 10 kg/cm², TUBELLI ou similar Joelho 90° soldável DN 60  </v>
          </cell>
          <cell r="H1373" t="str">
            <v xml:space="preserve">pç    </v>
          </cell>
          <cell r="I1373">
            <v>18</v>
          </cell>
          <cell r="J1373">
            <v>15</v>
          </cell>
          <cell r="K1373">
            <v>12.52</v>
          </cell>
          <cell r="L1373">
            <v>270</v>
          </cell>
        </row>
        <row r="1374">
          <cell r="D1374" t="str">
            <v xml:space="preserve">  G.165.            </v>
          </cell>
          <cell r="E1374" t="str">
            <v>CP2170</v>
          </cell>
          <cell r="F1374" t="str">
            <v>7.2.3.</v>
          </cell>
          <cell r="G1374" t="str">
            <v xml:space="preserve">Conexões em polipropileno, pressão nominal de 10 kg/cm², TUBELLI ou similar Joelho 90° soldável DN 40  </v>
          </cell>
          <cell r="H1374" t="str">
            <v xml:space="preserve">pç    </v>
          </cell>
          <cell r="I1374">
            <v>4</v>
          </cell>
          <cell r="J1374">
            <v>7.58</v>
          </cell>
          <cell r="K1374">
            <v>6.33</v>
          </cell>
          <cell r="L1374">
            <v>30.32</v>
          </cell>
        </row>
        <row r="1375">
          <cell r="D1375" t="str">
            <v xml:space="preserve">  G.166.            </v>
          </cell>
          <cell r="E1375" t="str">
            <v>CP2170</v>
          </cell>
          <cell r="F1375" t="str">
            <v>7.2.4.</v>
          </cell>
          <cell r="G1375" t="str">
            <v xml:space="preserve">Conexões em polipropileno, pressão nominal de 10 kg/cm², TUBELLI ou similar Joelho 45° soldável DN 40  </v>
          </cell>
          <cell r="H1375" t="str">
            <v xml:space="preserve">pç    </v>
          </cell>
          <cell r="I1375">
            <v>1</v>
          </cell>
          <cell r="J1375">
            <v>7.58</v>
          </cell>
          <cell r="K1375">
            <v>8.18</v>
          </cell>
          <cell r="L1375">
            <v>7.58</v>
          </cell>
        </row>
        <row r="1376">
          <cell r="D1376" t="str">
            <v xml:space="preserve">  G.167.            </v>
          </cell>
          <cell r="E1376" t="str">
            <v>CP2063</v>
          </cell>
          <cell r="F1376" t="str">
            <v>7.2.5.</v>
          </cell>
          <cell r="G1376" t="str">
            <v xml:space="preserve">Conexões em polipropileno, pressão nominal de 10 kg/cm², TUBELLI ou similar Luva de redução soldável DN 60 x 32  </v>
          </cell>
          <cell r="H1376" t="str">
            <v xml:space="preserve">pç    </v>
          </cell>
          <cell r="I1376">
            <v>2</v>
          </cell>
          <cell r="J1376">
            <v>10.54</v>
          </cell>
          <cell r="K1376">
            <v>15.06</v>
          </cell>
          <cell r="L1376">
            <v>21.08</v>
          </cell>
        </row>
        <row r="1377">
          <cell r="D1377" t="str">
            <v xml:space="preserve">  G.168.            </v>
          </cell>
          <cell r="E1377" t="str">
            <v>CP2051</v>
          </cell>
          <cell r="F1377" t="str">
            <v>7.2.6.</v>
          </cell>
          <cell r="G1377" t="str">
            <v xml:space="preserve">Conexões em polipropileno, pressão nominal de 10 kg/cm², TUBELLI ou similar Tê soldável DN 60  </v>
          </cell>
          <cell r="H1377" t="str">
            <v xml:space="preserve">pç    </v>
          </cell>
          <cell r="I1377">
            <v>3</v>
          </cell>
          <cell r="J1377">
            <v>10.63</v>
          </cell>
          <cell r="K1377">
            <v>8.93</v>
          </cell>
          <cell r="L1377">
            <v>31.89</v>
          </cell>
        </row>
        <row r="1378">
          <cell r="D1378" t="str">
            <v xml:space="preserve">  G.169.            </v>
          </cell>
          <cell r="E1378" t="str">
            <v>CP0728</v>
          </cell>
          <cell r="F1378" t="str">
            <v>7.2.7.</v>
          </cell>
          <cell r="G1378" t="str">
            <v xml:space="preserve">Conexões em polipropileno, pressão nominal de 10 kg/cm², TUBELLI ou similar Tê soldável DN 40  </v>
          </cell>
          <cell r="H1378" t="str">
            <v xml:space="preserve">pç    </v>
          </cell>
          <cell r="I1378">
            <v>2</v>
          </cell>
          <cell r="J1378">
            <v>5.3</v>
          </cell>
          <cell r="K1378">
            <v>4.42</v>
          </cell>
          <cell r="L1378">
            <v>10.6</v>
          </cell>
        </row>
        <row r="1379">
          <cell r="D1379" t="str">
            <v xml:space="preserve">  G.170.            </v>
          </cell>
          <cell r="E1379" t="str">
            <v>CP1934</v>
          </cell>
          <cell r="F1379" t="str">
            <v>7.2.8.</v>
          </cell>
          <cell r="G1379" t="str">
            <v xml:space="preserve">Conexões em polipropileno, pressão nominal de 10 kg/cm², TUBELLI ou similar União soldável DN 60  </v>
          </cell>
          <cell r="H1379" t="str">
            <v xml:space="preserve">pç    </v>
          </cell>
          <cell r="I1379">
            <v>7</v>
          </cell>
          <cell r="J1379">
            <v>14.91</v>
          </cell>
          <cell r="K1379">
            <v>12.46</v>
          </cell>
          <cell r="L1379">
            <v>104.37</v>
          </cell>
        </row>
        <row r="1380">
          <cell r="D1380" t="str">
            <v xml:space="preserve">  G.171.            </v>
          </cell>
          <cell r="E1380" t="str">
            <v>CP2039</v>
          </cell>
          <cell r="F1380" t="str">
            <v>7.2.9.</v>
          </cell>
          <cell r="G1380" t="str">
            <v xml:space="preserve">Conexões em polipropileno, pressão nominal de 10 kg/cm², TUBELLI ou similar União soldável DN 40  </v>
          </cell>
          <cell r="H1380" t="str">
            <v xml:space="preserve">pç    </v>
          </cell>
          <cell r="I1380">
            <v>3</v>
          </cell>
          <cell r="J1380">
            <v>12.33</v>
          </cell>
          <cell r="K1380">
            <v>10.29</v>
          </cell>
          <cell r="L1380">
            <v>36.99</v>
          </cell>
        </row>
        <row r="1381">
          <cell r="D1381" t="str">
            <v xml:space="preserve">  G.172.            </v>
          </cell>
          <cell r="E1381" t="str">
            <v xml:space="preserve">      </v>
          </cell>
          <cell r="F1381" t="str">
            <v>7.2.10.</v>
          </cell>
          <cell r="G1381" t="str">
            <v xml:space="preserve">Adaptador soldável curto com bolsa e rosca p/ registro  </v>
          </cell>
          <cell r="H1381" t="str">
            <v xml:space="preserve">      </v>
          </cell>
          <cell r="I1381">
            <v>0</v>
          </cell>
          <cell r="J1381">
            <v>0</v>
          </cell>
          <cell r="K1381">
            <v>0</v>
          </cell>
          <cell r="L1381">
            <v>0</v>
          </cell>
        </row>
        <row r="1382">
          <cell r="D1382" t="str">
            <v xml:space="preserve">  G.173.            </v>
          </cell>
          <cell r="E1382" t="str">
            <v>CP0698</v>
          </cell>
          <cell r="F1382" t="str">
            <v>7.2.10.1.</v>
          </cell>
          <cell r="G1382" t="str">
            <v xml:space="preserve">Adaptador soldável curto com bolsa e rosca p/ registro DN 60 x 2  </v>
          </cell>
          <cell r="H1382" t="str">
            <v xml:space="preserve">pç    </v>
          </cell>
          <cell r="I1382">
            <v>1</v>
          </cell>
          <cell r="J1382">
            <v>8.36</v>
          </cell>
          <cell r="K1382">
            <v>6.99</v>
          </cell>
          <cell r="L1382">
            <v>8.36</v>
          </cell>
        </row>
        <row r="1383">
          <cell r="D1383" t="str">
            <v xml:space="preserve">  G.174.            </v>
          </cell>
          <cell r="E1383" t="str">
            <v>CP0804</v>
          </cell>
          <cell r="F1383" t="str">
            <v>7.2.10.2.</v>
          </cell>
          <cell r="G1383" t="str">
            <v xml:space="preserve">Adaptador soldável curto com bolsa e rosca p/ registro DN 32 x 1  </v>
          </cell>
          <cell r="H1383" t="str">
            <v xml:space="preserve">pç    </v>
          </cell>
          <cell r="I1383">
            <v>2</v>
          </cell>
          <cell r="J1383">
            <v>2.13</v>
          </cell>
          <cell r="K1383">
            <v>1.78</v>
          </cell>
          <cell r="L1383">
            <v>4.26</v>
          </cell>
        </row>
        <row r="1384">
          <cell r="D1384" t="str">
            <v xml:space="preserve">  G.175.            </v>
          </cell>
          <cell r="E1384" t="str">
            <v xml:space="preserve">      </v>
          </cell>
          <cell r="F1384" t="str">
            <v>7.3.</v>
          </cell>
          <cell r="G1384" t="str">
            <v xml:space="preserve">Tubos em aço carbono sem costura, roscável SCHEDULE 40, zincados, MANNESMANN ou similar  </v>
          </cell>
          <cell r="H1384" t="str">
            <v xml:space="preserve">      </v>
          </cell>
          <cell r="I1384">
            <v>0</v>
          </cell>
          <cell r="J1384">
            <v>0</v>
          </cell>
          <cell r="K1384">
            <v>0</v>
          </cell>
          <cell r="L1384">
            <v>0</v>
          </cell>
        </row>
        <row r="1385">
          <cell r="D1385" t="str">
            <v xml:space="preserve">  G.176.            </v>
          </cell>
          <cell r="E1385" t="str">
            <v>CP1806</v>
          </cell>
          <cell r="F1385" t="str">
            <v>7.3.1.</v>
          </cell>
          <cell r="G1385" t="str">
            <v xml:space="preserve">Tubos em aço carbono sem costura, roscável SCHEDULE 40, zincados, MANNESMANN ou similar Tubo ø 3  </v>
          </cell>
          <cell r="H1385" t="str">
            <v xml:space="preserve">m     </v>
          </cell>
          <cell r="I1385">
            <v>25</v>
          </cell>
          <cell r="J1385">
            <v>50.61</v>
          </cell>
          <cell r="K1385">
            <v>68.3</v>
          </cell>
          <cell r="L1385">
            <v>1265.25</v>
          </cell>
        </row>
        <row r="1386">
          <cell r="D1386" t="str">
            <v xml:space="preserve">  G.177.            </v>
          </cell>
          <cell r="E1386" t="str">
            <v xml:space="preserve">      </v>
          </cell>
          <cell r="F1386" t="str">
            <v>7.4.</v>
          </cell>
          <cell r="G1386" t="str">
            <v xml:space="preserve">Conexões em ferro maleável, classe 10 zincadas, TUPY ou similar:  </v>
          </cell>
          <cell r="H1386" t="str">
            <v xml:space="preserve">      </v>
          </cell>
          <cell r="I1386">
            <v>0</v>
          </cell>
          <cell r="J1386">
            <v>0</v>
          </cell>
          <cell r="K1386">
            <v>0</v>
          </cell>
          <cell r="L1386">
            <v>0</v>
          </cell>
        </row>
        <row r="1387">
          <cell r="D1387" t="str">
            <v xml:space="preserve">  G.178.            </v>
          </cell>
          <cell r="E1387" t="str">
            <v>CP2040</v>
          </cell>
          <cell r="F1387" t="str">
            <v>7.4.1.</v>
          </cell>
          <cell r="G1387" t="str">
            <v xml:space="preserve">Conexões em ferro maleável, classe 10 zincadas, TUPY ou similar: Bucha de redução c/ rosca ø 3 x 2  </v>
          </cell>
          <cell r="H1387" t="str">
            <v xml:space="preserve">pç    </v>
          </cell>
          <cell r="I1387">
            <v>1</v>
          </cell>
          <cell r="J1387">
            <v>15.73</v>
          </cell>
          <cell r="K1387">
            <v>19.03</v>
          </cell>
          <cell r="L1387">
            <v>15.73</v>
          </cell>
        </row>
        <row r="1388">
          <cell r="D1388" t="str">
            <v xml:space="preserve">  G.179.            </v>
          </cell>
          <cell r="E1388" t="str">
            <v>CP1964</v>
          </cell>
          <cell r="F1388" t="str">
            <v>7.4.2.</v>
          </cell>
          <cell r="G1388" t="str">
            <v xml:space="preserve">Conexões em ferro maleável, classe 10 zincadas, TUPY ou similar: Cotovelo 90o em ferro maleável ø 3  </v>
          </cell>
          <cell r="H1388" t="str">
            <v xml:space="preserve">pç    </v>
          </cell>
          <cell r="I1388">
            <v>4</v>
          </cell>
          <cell r="J1388">
            <v>49.78</v>
          </cell>
          <cell r="K1388">
            <v>60.35</v>
          </cell>
          <cell r="L1388">
            <v>199.12</v>
          </cell>
        </row>
        <row r="1389">
          <cell r="D1389" t="str">
            <v xml:space="preserve">  G.180.            </v>
          </cell>
          <cell r="E1389" t="str">
            <v>CP1936</v>
          </cell>
          <cell r="F1389" t="str">
            <v>7.4.3.</v>
          </cell>
          <cell r="G1389" t="str">
            <v xml:space="preserve">Conexões em ferro maleável, classe 10 zincadas, TUPY ou similar: Luva com rosca ø 3  </v>
          </cell>
          <cell r="H1389" t="str">
            <v xml:space="preserve">pç    </v>
          </cell>
          <cell r="I1389">
            <v>1</v>
          </cell>
          <cell r="J1389">
            <v>37.71</v>
          </cell>
          <cell r="K1389">
            <v>45.75</v>
          </cell>
          <cell r="L1389">
            <v>37.71</v>
          </cell>
        </row>
        <row r="1390">
          <cell r="D1390" t="str">
            <v xml:space="preserve">  G.181.            </v>
          </cell>
          <cell r="E1390" t="str">
            <v>CP1926</v>
          </cell>
          <cell r="F1390" t="str">
            <v>7.4.4.</v>
          </cell>
          <cell r="G1390" t="str">
            <v xml:space="preserve">Conexões em ferro maleável, classe 10 zincadas, TUPY ou similar: Niple duplo com rosca ø 3  </v>
          </cell>
          <cell r="H1390" t="str">
            <v xml:space="preserve">pç    </v>
          </cell>
          <cell r="I1390">
            <v>2</v>
          </cell>
          <cell r="J1390">
            <v>29.17</v>
          </cell>
          <cell r="K1390">
            <v>35.32</v>
          </cell>
          <cell r="L1390">
            <v>58.34</v>
          </cell>
        </row>
        <row r="1391">
          <cell r="D1391" t="str">
            <v xml:space="preserve">  G.182.            </v>
          </cell>
          <cell r="E1391" t="str">
            <v>CP0774</v>
          </cell>
          <cell r="F1391" t="str">
            <v>7.4.5.</v>
          </cell>
          <cell r="G1391" t="str">
            <v xml:space="preserve">Conexões em ferro maleável, classe 10 zincadas, TUPY ou similar: Niple duplo com rosca ø 2  </v>
          </cell>
          <cell r="H1391" t="str">
            <v xml:space="preserve">pç    </v>
          </cell>
          <cell r="I1391">
            <v>5</v>
          </cell>
          <cell r="J1391">
            <v>6.18</v>
          </cell>
          <cell r="K1391">
            <v>5.18</v>
          </cell>
          <cell r="L1391">
            <v>30.9</v>
          </cell>
        </row>
        <row r="1392">
          <cell r="D1392" t="str">
            <v xml:space="preserve">  G.183.            </v>
          </cell>
          <cell r="E1392" t="str">
            <v>CP2273</v>
          </cell>
          <cell r="F1392" t="str">
            <v>7.4.6.</v>
          </cell>
          <cell r="G1392" t="str">
            <v xml:space="preserve">Conexões em ferro maleável, classe 10 zincadas, TUPY ou similar: Tê de redução ø 3 x 2  </v>
          </cell>
          <cell r="H1392" t="str">
            <v xml:space="preserve">un    </v>
          </cell>
          <cell r="I1392">
            <v>2</v>
          </cell>
          <cell r="J1392">
            <v>57.8</v>
          </cell>
          <cell r="K1392">
            <v>70.69</v>
          </cell>
          <cell r="L1392">
            <v>115.6</v>
          </cell>
        </row>
        <row r="1393">
          <cell r="D1393" t="str">
            <v xml:space="preserve">  G.184.            </v>
          </cell>
          <cell r="E1393" t="str">
            <v>CP1851</v>
          </cell>
          <cell r="F1393" t="str">
            <v>7.4.7.</v>
          </cell>
          <cell r="G1393" t="str">
            <v xml:space="preserve">Conexões em ferro maleável, classe 10 zincadas, TUPY ou similar: União com rosca ø 3  </v>
          </cell>
          <cell r="H1393" t="str">
            <v xml:space="preserve">pç    </v>
          </cell>
          <cell r="I1393">
            <v>1</v>
          </cell>
          <cell r="J1393">
            <v>152.04</v>
          </cell>
          <cell r="K1393">
            <v>185.95</v>
          </cell>
          <cell r="L1393">
            <v>152.04</v>
          </cell>
        </row>
        <row r="1394">
          <cell r="D1394" t="str">
            <v xml:space="preserve">  G.185.            </v>
          </cell>
          <cell r="E1394" t="str">
            <v>CP0798</v>
          </cell>
          <cell r="F1394" t="str">
            <v>7.4.8.</v>
          </cell>
          <cell r="G1394" t="str">
            <v xml:space="preserve">Conexões em ferro maleável, classe 10 zincadas, TUPY ou similar: União com rosca ø 2  </v>
          </cell>
          <cell r="H1394" t="str">
            <v xml:space="preserve">pç    </v>
          </cell>
          <cell r="I1394">
            <v>2</v>
          </cell>
          <cell r="J1394">
            <v>6.32</v>
          </cell>
          <cell r="K1394">
            <v>5.28</v>
          </cell>
          <cell r="L1394">
            <v>12.64</v>
          </cell>
        </row>
        <row r="1395">
          <cell r="D1395" t="str">
            <v xml:space="preserve">  G.186.            </v>
          </cell>
          <cell r="E1395" t="str">
            <v>CP2011</v>
          </cell>
          <cell r="F1395" t="str">
            <v>7.4.9.</v>
          </cell>
          <cell r="G1395" t="str">
            <v xml:space="preserve">Conexões em ferro maleável, classe 10 zincadas, TUPY ou similar: Flange c/ sextavado em ferro maleável ø 3  </v>
          </cell>
          <cell r="H1395" t="str">
            <v xml:space="preserve">pç    </v>
          </cell>
          <cell r="I1395">
            <v>2</v>
          </cell>
          <cell r="J1395">
            <v>39.5</v>
          </cell>
          <cell r="K1395">
            <v>48.3</v>
          </cell>
          <cell r="L1395">
            <v>79</v>
          </cell>
        </row>
        <row r="1396">
          <cell r="D1396" t="str">
            <v xml:space="preserve">  G.187.            </v>
          </cell>
          <cell r="E1396" t="str">
            <v xml:space="preserve">      </v>
          </cell>
          <cell r="F1396" t="str">
            <v>7.5.</v>
          </cell>
          <cell r="G1396" t="str">
            <v xml:space="preserve">Tubo em PVC rígido TIGRE ou similar:  </v>
          </cell>
          <cell r="H1396" t="str">
            <v xml:space="preserve">      </v>
          </cell>
          <cell r="I1396">
            <v>0</v>
          </cell>
          <cell r="J1396">
            <v>0</v>
          </cell>
          <cell r="K1396">
            <v>0</v>
          </cell>
          <cell r="L1396">
            <v>0</v>
          </cell>
        </row>
        <row r="1397">
          <cell r="D1397" t="str">
            <v xml:space="preserve">  G.188.            </v>
          </cell>
          <cell r="E1397" t="str">
            <v>CP0881</v>
          </cell>
          <cell r="F1397" t="str">
            <v>7.5.1.</v>
          </cell>
          <cell r="G1397" t="str">
            <v xml:space="preserve">Tubo em PVC rígido TIGRE ou similar: Tubo soldável DN 50  </v>
          </cell>
          <cell r="H1397" t="str">
            <v xml:space="preserve">m     </v>
          </cell>
          <cell r="I1397">
            <v>6</v>
          </cell>
          <cell r="J1397">
            <v>6.02</v>
          </cell>
          <cell r="K1397">
            <v>5.04</v>
          </cell>
          <cell r="L1397">
            <v>36.119999999999997</v>
          </cell>
        </row>
        <row r="1398">
          <cell r="D1398" t="str">
            <v xml:space="preserve">  G.189.            </v>
          </cell>
          <cell r="E1398" t="str">
            <v>CP0697</v>
          </cell>
          <cell r="F1398" t="str">
            <v>7.5.2.</v>
          </cell>
          <cell r="G1398" t="str">
            <v xml:space="preserve">Tubo em PVC rígido TIGRE ou similar: Tubo soldável DN 40  </v>
          </cell>
          <cell r="H1398" t="str">
            <v xml:space="preserve">m     </v>
          </cell>
          <cell r="I1398">
            <v>12</v>
          </cell>
          <cell r="J1398">
            <v>3.89</v>
          </cell>
          <cell r="K1398">
            <v>3.27</v>
          </cell>
          <cell r="L1398">
            <v>46.68</v>
          </cell>
        </row>
        <row r="1399">
          <cell r="D1399" t="str">
            <v xml:space="preserve">  G.190.            </v>
          </cell>
          <cell r="E1399" t="str">
            <v xml:space="preserve">      </v>
          </cell>
          <cell r="F1399" t="str">
            <v>7.6.</v>
          </cell>
          <cell r="G1399" t="str">
            <v xml:space="preserve">Conexões em PVC rígido TIGRE ou similar  </v>
          </cell>
          <cell r="H1399" t="str">
            <v xml:space="preserve">      </v>
          </cell>
          <cell r="I1399">
            <v>0</v>
          </cell>
          <cell r="J1399">
            <v>0</v>
          </cell>
          <cell r="K1399">
            <v>0</v>
          </cell>
          <cell r="L1399">
            <v>0</v>
          </cell>
        </row>
        <row r="1400">
          <cell r="D1400" t="str">
            <v xml:space="preserve">  G.191.            </v>
          </cell>
          <cell r="E1400" t="str">
            <v>CP2100</v>
          </cell>
          <cell r="F1400" t="str">
            <v>7.6.1.</v>
          </cell>
          <cell r="G1400" t="str">
            <v xml:space="preserve">Conexões em PVC rígido TIGRE ou similar Bucha de redução soldável curta DN 50 x 40  </v>
          </cell>
          <cell r="H1400" t="str">
            <v xml:space="preserve">pç    </v>
          </cell>
          <cell r="I1400">
            <v>1</v>
          </cell>
          <cell r="J1400">
            <v>1.52</v>
          </cell>
          <cell r="K1400">
            <v>1.27</v>
          </cell>
          <cell r="L1400">
            <v>1.52</v>
          </cell>
        </row>
        <row r="1401">
          <cell r="D1401" t="str">
            <v xml:space="preserve">  G.192.            </v>
          </cell>
          <cell r="E1401" t="str">
            <v xml:space="preserve">      </v>
          </cell>
          <cell r="F1401" t="str">
            <v>7.6.2.</v>
          </cell>
          <cell r="G1401" t="str">
            <v xml:space="preserve">Conexões em PVC rígido TIGRE ou similar Joelho 90° soldável  </v>
          </cell>
          <cell r="H1401" t="str">
            <v xml:space="preserve">      </v>
          </cell>
          <cell r="I1401">
            <v>0</v>
          </cell>
          <cell r="J1401">
            <v>0</v>
          </cell>
          <cell r="K1401">
            <v>0</v>
          </cell>
          <cell r="L1401">
            <v>0</v>
          </cell>
        </row>
        <row r="1402">
          <cell r="D1402" t="str">
            <v xml:space="preserve">  G.193.            </v>
          </cell>
          <cell r="E1402" t="str">
            <v>CP0832</v>
          </cell>
          <cell r="F1402" t="str">
            <v>7.6.2.1.</v>
          </cell>
          <cell r="G1402" t="str">
            <v xml:space="preserve">Conexões em PVC rígido TIGRE ou similar Joelho 90° soldável D 50  </v>
          </cell>
          <cell r="H1402" t="str">
            <v xml:space="preserve">pç    </v>
          </cell>
          <cell r="I1402">
            <v>1</v>
          </cell>
          <cell r="J1402">
            <v>2.97</v>
          </cell>
          <cell r="K1402">
            <v>2.48</v>
          </cell>
          <cell r="L1402">
            <v>2.97</v>
          </cell>
        </row>
        <row r="1403">
          <cell r="D1403" t="str">
            <v xml:space="preserve">  G.194.            </v>
          </cell>
          <cell r="E1403" t="str">
            <v>CP0695</v>
          </cell>
          <cell r="F1403" t="str">
            <v>7.6.2.2.</v>
          </cell>
          <cell r="G1403" t="str">
            <v xml:space="preserve">Conexões em PVC rígido TIGRE ou similar Joelho 90° soldável D 40  </v>
          </cell>
          <cell r="H1403" t="str">
            <v xml:space="preserve">pç    </v>
          </cell>
          <cell r="I1403">
            <v>7</v>
          </cell>
          <cell r="J1403">
            <v>2.5299999999999998</v>
          </cell>
          <cell r="K1403">
            <v>2.12</v>
          </cell>
          <cell r="L1403">
            <v>17.71</v>
          </cell>
        </row>
        <row r="1404">
          <cell r="D1404" t="str">
            <v xml:space="preserve">  G.195.            </v>
          </cell>
          <cell r="E1404" t="str">
            <v xml:space="preserve">      </v>
          </cell>
          <cell r="F1404" t="str">
            <v>7.6.3.</v>
          </cell>
          <cell r="G1404" t="str">
            <v xml:space="preserve">Conexões em PVC rígido TIGRE ou similar União soldável  </v>
          </cell>
          <cell r="H1404" t="str">
            <v xml:space="preserve">      </v>
          </cell>
          <cell r="I1404">
            <v>0</v>
          </cell>
          <cell r="J1404">
            <v>0</v>
          </cell>
          <cell r="K1404">
            <v>0</v>
          </cell>
          <cell r="L1404">
            <v>0</v>
          </cell>
        </row>
        <row r="1405">
          <cell r="D1405" t="str">
            <v xml:space="preserve">  G.196.            </v>
          </cell>
          <cell r="E1405" t="str">
            <v>CP0682</v>
          </cell>
          <cell r="F1405" t="str">
            <v>7.6.3.1.</v>
          </cell>
          <cell r="G1405" t="str">
            <v xml:space="preserve">Conexões em PVC rígido TIGRE ou similar União soldável D 40  </v>
          </cell>
          <cell r="H1405" t="str">
            <v xml:space="preserve">pç    </v>
          </cell>
          <cell r="I1405">
            <v>2</v>
          </cell>
          <cell r="J1405">
            <v>10.72</v>
          </cell>
          <cell r="K1405">
            <v>9</v>
          </cell>
          <cell r="L1405">
            <v>21.44</v>
          </cell>
        </row>
        <row r="1406">
          <cell r="D1406" t="str">
            <v xml:space="preserve">  G.197.            </v>
          </cell>
          <cell r="E1406" t="str">
            <v xml:space="preserve">      </v>
          </cell>
          <cell r="F1406" t="str">
            <v>7.6.4.</v>
          </cell>
          <cell r="G1406" t="str">
            <v xml:space="preserve">Conexões em PVC rígido TIGRE ou similar Tê 90° soldável  </v>
          </cell>
          <cell r="H1406" t="str">
            <v xml:space="preserve">      </v>
          </cell>
          <cell r="I1406">
            <v>0</v>
          </cell>
          <cell r="J1406">
            <v>0</v>
          </cell>
          <cell r="K1406">
            <v>0</v>
          </cell>
          <cell r="L1406">
            <v>0</v>
          </cell>
        </row>
        <row r="1407">
          <cell r="D1407" t="str">
            <v xml:space="preserve">  G.198.            </v>
          </cell>
          <cell r="E1407" t="str">
            <v>CP2135</v>
          </cell>
          <cell r="F1407" t="str">
            <v>7.6.4.1.</v>
          </cell>
          <cell r="G1407" t="str">
            <v xml:space="preserve">Conexões em PVC rígido TIGRE ou similar Tê 90° soldável de redução D 50 x 40  </v>
          </cell>
          <cell r="H1407" t="str">
            <v xml:space="preserve">pç    </v>
          </cell>
          <cell r="I1407">
            <v>1</v>
          </cell>
          <cell r="J1407">
            <v>8.82</v>
          </cell>
          <cell r="K1407">
            <v>11.79</v>
          </cell>
          <cell r="L1407">
            <v>8.82</v>
          </cell>
        </row>
        <row r="1408">
          <cell r="D1408" t="str">
            <v xml:space="preserve">  G.199.            </v>
          </cell>
          <cell r="E1408" t="str">
            <v xml:space="preserve">      </v>
          </cell>
          <cell r="F1408" t="str">
            <v>8.</v>
          </cell>
          <cell r="G1408" t="str">
            <v xml:space="preserve">Assentamento de Materiais para Instalações de Processo  </v>
          </cell>
          <cell r="H1408" t="str">
            <v xml:space="preserve">      </v>
          </cell>
          <cell r="I1408">
            <v>0</v>
          </cell>
          <cell r="J1408">
            <v>0</v>
          </cell>
          <cell r="K1408">
            <v>0</v>
          </cell>
          <cell r="L1408">
            <v>0</v>
          </cell>
        </row>
        <row r="1409">
          <cell r="D1409" t="str">
            <v xml:space="preserve">  G.200.            </v>
          </cell>
          <cell r="E1409" t="str">
            <v xml:space="preserve">      </v>
          </cell>
          <cell r="F1409" t="str">
            <v>8.1.</v>
          </cell>
          <cell r="G1409" t="str">
            <v xml:space="preserve">Tubos em polipropileno soldáveis conforme norma DIN-8077, pressão nominal de 10 kg/cm², TUBELLI ou similar  </v>
          </cell>
          <cell r="H1409" t="str">
            <v xml:space="preserve">      </v>
          </cell>
          <cell r="I1409">
            <v>0</v>
          </cell>
          <cell r="J1409">
            <v>0</v>
          </cell>
          <cell r="K1409">
            <v>0</v>
          </cell>
          <cell r="L1409">
            <v>0</v>
          </cell>
        </row>
        <row r="1410">
          <cell r="D1410" t="str">
            <v xml:space="preserve">  G.201.            </v>
          </cell>
          <cell r="E1410" t="str">
            <v>CP0158</v>
          </cell>
          <cell r="F1410" t="str">
            <v>8.1.1.</v>
          </cell>
          <cell r="G1410" t="str">
            <v xml:space="preserve">Tubos em polipropileno soldáveis conforme norma DIN-8077, pressão nominal de 10 kg/cm², TUBELLI ou similar Tubo DN 60  </v>
          </cell>
          <cell r="H1410" t="str">
            <v xml:space="preserve">m     </v>
          </cell>
          <cell r="I1410">
            <v>18</v>
          </cell>
          <cell r="J1410">
            <v>1.1299999999999999</v>
          </cell>
          <cell r="K1410">
            <v>0.94</v>
          </cell>
          <cell r="L1410">
            <v>20.34</v>
          </cell>
        </row>
        <row r="1411">
          <cell r="D1411" t="str">
            <v xml:space="preserve">  G.202.            </v>
          </cell>
          <cell r="E1411" t="str">
            <v>CP0155</v>
          </cell>
          <cell r="F1411" t="str">
            <v>8.1.2.</v>
          </cell>
          <cell r="G1411" t="str">
            <v xml:space="preserve">Tubos em polipropileno soldáveis conforme norma DIN-8077, pressão nominal de 10 kg/cm², TUBELLI ou similar Tubo DN 40  </v>
          </cell>
          <cell r="H1411" t="str">
            <v xml:space="preserve">m     </v>
          </cell>
          <cell r="I1411">
            <v>12</v>
          </cell>
          <cell r="J1411">
            <v>1.34</v>
          </cell>
          <cell r="K1411">
            <v>5.82</v>
          </cell>
          <cell r="L1411">
            <v>16.079999999999998</v>
          </cell>
        </row>
        <row r="1412">
          <cell r="D1412" t="str">
            <v xml:space="preserve">  G.203.            </v>
          </cell>
          <cell r="E1412" t="str">
            <v xml:space="preserve">      </v>
          </cell>
          <cell r="F1412" t="str">
            <v>8.2.</v>
          </cell>
          <cell r="G1412" t="str">
            <v xml:space="preserve">Tubos e conexões em aço carbono sem costura, roscável SCHEDULE 40, zincados, MANNESMANN ou similar  </v>
          </cell>
          <cell r="H1412" t="str">
            <v xml:space="preserve">      </v>
          </cell>
          <cell r="I1412">
            <v>0</v>
          </cell>
          <cell r="J1412">
            <v>0</v>
          </cell>
          <cell r="K1412">
            <v>0</v>
          </cell>
          <cell r="L1412">
            <v>0</v>
          </cell>
        </row>
        <row r="1413">
          <cell r="D1413" t="str">
            <v xml:space="preserve">  G.204.            </v>
          </cell>
          <cell r="E1413" t="str">
            <v>CP0435</v>
          </cell>
          <cell r="F1413" t="str">
            <v>8.2.1.</v>
          </cell>
          <cell r="G1413" t="str">
            <v xml:space="preserve">Tubos e conexões em aço carbono sem costura, roscável SCHEDULE 40, zincados, MANNESMANN ou similar Tubo ø 3  </v>
          </cell>
          <cell r="H1413" t="str">
            <v xml:space="preserve">m     </v>
          </cell>
          <cell r="I1413">
            <v>25</v>
          </cell>
          <cell r="J1413">
            <v>9.81</v>
          </cell>
          <cell r="K1413">
            <v>16.510000000000002</v>
          </cell>
          <cell r="L1413">
            <v>245.25</v>
          </cell>
        </row>
        <row r="1414">
          <cell r="D1414" t="str">
            <v xml:space="preserve">  G.205.            </v>
          </cell>
          <cell r="E1414" t="str">
            <v xml:space="preserve">      </v>
          </cell>
          <cell r="F1414" t="str">
            <v>8.3.</v>
          </cell>
          <cell r="G1414" t="str">
            <v xml:space="preserve">Tubos e conexões em PVC rígido TIGRE ou similar  </v>
          </cell>
          <cell r="H1414" t="str">
            <v xml:space="preserve">      </v>
          </cell>
          <cell r="I1414">
            <v>0</v>
          </cell>
          <cell r="J1414">
            <v>0</v>
          </cell>
          <cell r="K1414">
            <v>0</v>
          </cell>
          <cell r="L1414">
            <v>0</v>
          </cell>
        </row>
        <row r="1415">
          <cell r="D1415" t="str">
            <v xml:space="preserve">  G.206.            </v>
          </cell>
          <cell r="E1415" t="str">
            <v>CP0154</v>
          </cell>
          <cell r="F1415" t="str">
            <v>8.3.1.</v>
          </cell>
          <cell r="G1415" t="str">
            <v xml:space="preserve">Tubos e conexões em PVC rígido TIGRE ou similar Tubo soldável DN 50  </v>
          </cell>
          <cell r="H1415" t="str">
            <v xml:space="preserve">m     </v>
          </cell>
          <cell r="I1415">
            <v>6</v>
          </cell>
          <cell r="J1415">
            <v>1.23</v>
          </cell>
          <cell r="K1415">
            <v>10.02</v>
          </cell>
          <cell r="L1415">
            <v>7.38</v>
          </cell>
        </row>
        <row r="1416">
          <cell r="D1416" t="str">
            <v xml:space="preserve">  G.207.            </v>
          </cell>
          <cell r="E1416" t="str">
            <v>CP0570</v>
          </cell>
          <cell r="F1416" t="str">
            <v>8.3.2.</v>
          </cell>
          <cell r="G1416" t="str">
            <v xml:space="preserve">Tubos e conexões em PVC rígido TIGRE ou similar Tubo soldável DN 40  </v>
          </cell>
          <cell r="H1416" t="str">
            <v xml:space="preserve">m     </v>
          </cell>
          <cell r="I1416">
            <v>12</v>
          </cell>
          <cell r="J1416">
            <v>5.82</v>
          </cell>
          <cell r="K1416">
            <v>8.44</v>
          </cell>
          <cell r="L1416">
            <v>69.84</v>
          </cell>
        </row>
        <row r="1417">
          <cell r="D1417" t="str">
            <v xml:space="preserve">  G.208.            </v>
          </cell>
          <cell r="E1417" t="str">
            <v xml:space="preserve">      </v>
          </cell>
          <cell r="F1417" t="str">
            <v>9.</v>
          </cell>
          <cell r="G1417" t="str">
            <v xml:space="preserve">Fornecimento de Equipamentos, Válvulas e Miscelâneas Diversas para Instalações de Processo  </v>
          </cell>
          <cell r="H1417" t="str">
            <v xml:space="preserve">      </v>
          </cell>
          <cell r="I1417">
            <v>0</v>
          </cell>
          <cell r="J1417">
            <v>0</v>
          </cell>
          <cell r="K1417">
            <v>0</v>
          </cell>
          <cell r="L1417">
            <v>0</v>
          </cell>
        </row>
        <row r="1418">
          <cell r="D1418" t="str">
            <v xml:space="preserve">  G.209.            </v>
          </cell>
          <cell r="E1418" t="str">
            <v xml:space="preserve">      </v>
          </cell>
          <cell r="F1418" t="str">
            <v>9.1.</v>
          </cell>
          <cell r="G1418" t="str">
            <v xml:space="preserve">Válvulas de esfera em polipropileno soldáveis, acionamento manual  </v>
          </cell>
          <cell r="H1418" t="str">
            <v xml:space="preserve">      </v>
          </cell>
          <cell r="I1418">
            <v>0</v>
          </cell>
          <cell r="J1418">
            <v>0</v>
          </cell>
          <cell r="K1418">
            <v>0</v>
          </cell>
          <cell r="L1418">
            <v>0</v>
          </cell>
        </row>
        <row r="1419">
          <cell r="D1419" t="str">
            <v xml:space="preserve">  G.210.            </v>
          </cell>
          <cell r="E1419" t="str">
            <v>CP1632</v>
          </cell>
          <cell r="F1419" t="str">
            <v>9.1.1.</v>
          </cell>
          <cell r="G1419" t="str">
            <v xml:space="preserve">Válvulas de esfera em polipropileno soldáveis, acionamento manual DN 60  </v>
          </cell>
          <cell r="H1419" t="str">
            <v xml:space="preserve">un    </v>
          </cell>
          <cell r="I1419">
            <v>6</v>
          </cell>
          <cell r="J1419">
            <v>604.76</v>
          </cell>
          <cell r="K1419">
            <v>507.07</v>
          </cell>
          <cell r="L1419">
            <v>3628.56</v>
          </cell>
        </row>
        <row r="1420">
          <cell r="D1420" t="str">
            <v xml:space="preserve">  G.211.            </v>
          </cell>
          <cell r="E1420" t="str">
            <v xml:space="preserve">      </v>
          </cell>
          <cell r="F1420" t="str">
            <v>9.2.</v>
          </cell>
          <cell r="G1420" t="str">
            <v xml:space="preserve">Válvula de esfera em prolipropileno, soldáveis, com acionamento pneumático, dotada de solenoide 220 VCA, normalmente fechada  </v>
          </cell>
          <cell r="H1420" t="str">
            <v xml:space="preserve">      </v>
          </cell>
          <cell r="I1420">
            <v>0</v>
          </cell>
          <cell r="J1420">
            <v>0</v>
          </cell>
          <cell r="K1420">
            <v>0</v>
          </cell>
          <cell r="L1420">
            <v>0</v>
          </cell>
        </row>
        <row r="1421">
          <cell r="D1421" t="str">
            <v xml:space="preserve">  G.212.            </v>
          </cell>
          <cell r="E1421" t="str">
            <v>CP1568</v>
          </cell>
          <cell r="F1421" t="str">
            <v>9.2.1.</v>
          </cell>
          <cell r="G1421" t="str">
            <v xml:space="preserve">Válvula de esfera em prolipropileno, soldáveis, com acionamento pneumático, dotada de solenoide 220 VCA, normalmente fechada DN 40  </v>
          </cell>
          <cell r="H1421" t="str">
            <v xml:space="preserve">un    </v>
          </cell>
          <cell r="I1421">
            <v>5</v>
          </cell>
          <cell r="J1421">
            <v>3623.93</v>
          </cell>
          <cell r="K1421">
            <v>5177.04</v>
          </cell>
          <cell r="L1421">
            <v>18119.650000000001</v>
          </cell>
        </row>
        <row r="1422">
          <cell r="D1422" t="str">
            <v xml:space="preserve">  G.213.            </v>
          </cell>
          <cell r="E1422" t="str">
            <v>CP1619</v>
          </cell>
          <cell r="F1422" t="str">
            <v>9.3.</v>
          </cell>
          <cell r="G1422" t="str">
            <v xml:space="preserve">Válvula de esfera em bronze roscável acionamento manual ø 2  </v>
          </cell>
          <cell r="H1422" t="str">
            <v xml:space="preserve">un    </v>
          </cell>
          <cell r="I1422">
            <v>2</v>
          </cell>
          <cell r="J1422">
            <v>192.02</v>
          </cell>
          <cell r="K1422">
            <v>175.47</v>
          </cell>
          <cell r="L1422">
            <v>384.04</v>
          </cell>
        </row>
        <row r="1423">
          <cell r="D1423" t="str">
            <v xml:space="preserve">  G.214.            </v>
          </cell>
          <cell r="E1423" t="str">
            <v xml:space="preserve">      </v>
          </cell>
          <cell r="F1423" t="str">
            <v>9.4.</v>
          </cell>
          <cell r="G1423" t="str">
            <v xml:space="preserve">Válvula de esfera em prolipropileno roscável  </v>
          </cell>
          <cell r="H1423" t="str">
            <v xml:space="preserve">      </v>
          </cell>
          <cell r="I1423">
            <v>0</v>
          </cell>
          <cell r="J1423">
            <v>0</v>
          </cell>
          <cell r="K1423">
            <v>0</v>
          </cell>
          <cell r="L1423">
            <v>0</v>
          </cell>
        </row>
        <row r="1424">
          <cell r="D1424" t="str">
            <v xml:space="preserve">  G.215.            </v>
          </cell>
          <cell r="E1424" t="str">
            <v>CP1457</v>
          </cell>
          <cell r="F1424" t="str">
            <v>9.4.1.</v>
          </cell>
          <cell r="G1424" t="str">
            <v xml:space="preserve">Válvula de esfera em prolipropileno roscável ø 2  </v>
          </cell>
          <cell r="H1424" t="str">
            <v xml:space="preserve">un    </v>
          </cell>
          <cell r="I1424">
            <v>1</v>
          </cell>
          <cell r="J1424">
            <v>466.93</v>
          </cell>
          <cell r="K1424">
            <v>391.58</v>
          </cell>
          <cell r="L1424">
            <v>466.93</v>
          </cell>
        </row>
        <row r="1425">
          <cell r="D1425" t="str">
            <v xml:space="preserve">  G.216.            </v>
          </cell>
          <cell r="E1425" t="str">
            <v xml:space="preserve">      </v>
          </cell>
          <cell r="F1425" t="str">
            <v>10.</v>
          </cell>
          <cell r="G1425" t="str">
            <v xml:space="preserve">Montagem de Equipamentos, Válvulas e Miscelâneas Diversas para Instalações de Processo  </v>
          </cell>
          <cell r="H1425" t="str">
            <v xml:space="preserve">      </v>
          </cell>
          <cell r="I1425">
            <v>0</v>
          </cell>
          <cell r="J1425">
            <v>0</v>
          </cell>
          <cell r="K1425">
            <v>0</v>
          </cell>
          <cell r="L1425">
            <v>0</v>
          </cell>
        </row>
        <row r="1426">
          <cell r="D1426" t="str">
            <v xml:space="preserve">  G.217.            </v>
          </cell>
          <cell r="E1426" t="str">
            <v xml:space="preserve">      </v>
          </cell>
          <cell r="F1426" t="str">
            <v>10.1.</v>
          </cell>
          <cell r="G1426" t="str">
            <v xml:space="preserve">Válvulas de esfera em polipropileno soldáveis, acionamento manual  </v>
          </cell>
          <cell r="H1426" t="str">
            <v xml:space="preserve">      </v>
          </cell>
          <cell r="I1426">
            <v>0</v>
          </cell>
          <cell r="J1426">
            <v>0</v>
          </cell>
          <cell r="K1426">
            <v>0</v>
          </cell>
          <cell r="L1426">
            <v>0</v>
          </cell>
        </row>
        <row r="1427">
          <cell r="D1427" t="str">
            <v xml:space="preserve">  G.218.            </v>
          </cell>
          <cell r="E1427" t="str">
            <v>CP0453</v>
          </cell>
          <cell r="F1427" t="str">
            <v>10.1.1.</v>
          </cell>
          <cell r="G1427" t="str">
            <v xml:space="preserve">Válvulas de esfera em polipropileno soldáveis, acionamento manual DN 60  </v>
          </cell>
          <cell r="H1427" t="str">
            <v xml:space="preserve">un    </v>
          </cell>
          <cell r="I1427">
            <v>6</v>
          </cell>
          <cell r="J1427">
            <v>20.079999999999998</v>
          </cell>
          <cell r="K1427">
            <v>52.77</v>
          </cell>
          <cell r="L1427">
            <v>120.48</v>
          </cell>
        </row>
        <row r="1428">
          <cell r="D1428" t="str">
            <v xml:space="preserve">  G.219.            </v>
          </cell>
          <cell r="E1428" t="str">
            <v xml:space="preserve">      </v>
          </cell>
          <cell r="F1428" t="str">
            <v>10.2.</v>
          </cell>
          <cell r="G1428" t="str">
            <v xml:space="preserve">Válvula de esfera em prolipropileno, soldáveis, com acionamento pneumático, dotada de solenoide 220 VCA, normalmente fechada  </v>
          </cell>
          <cell r="H1428" t="str">
            <v xml:space="preserve">      </v>
          </cell>
          <cell r="I1428">
            <v>0</v>
          </cell>
          <cell r="J1428">
            <v>0</v>
          </cell>
          <cell r="K1428">
            <v>0</v>
          </cell>
          <cell r="L1428">
            <v>0</v>
          </cell>
        </row>
        <row r="1429">
          <cell r="D1429" t="str">
            <v xml:space="preserve">  G.220.            </v>
          </cell>
          <cell r="E1429" t="str">
            <v>CP0454</v>
          </cell>
          <cell r="F1429" t="str">
            <v>10.2.1.</v>
          </cell>
          <cell r="G1429" t="str">
            <v xml:space="preserve">Válvula de esfera em prolipropileno, soldáveis, com acionamento pneumático, dotada de solenoide 220 VCA, normalmente fechada DN 40  </v>
          </cell>
          <cell r="H1429" t="str">
            <v xml:space="preserve">un    </v>
          </cell>
          <cell r="I1429">
            <v>5</v>
          </cell>
          <cell r="J1429">
            <v>77.459999999999994</v>
          </cell>
          <cell r="K1429">
            <v>127.61</v>
          </cell>
          <cell r="L1429">
            <v>387.3</v>
          </cell>
        </row>
        <row r="1430">
          <cell r="D1430" t="str">
            <v xml:space="preserve">  G.221.            </v>
          </cell>
          <cell r="E1430" t="str">
            <v>CP0240</v>
          </cell>
          <cell r="F1430" t="str">
            <v>10.3.</v>
          </cell>
          <cell r="G1430" t="str">
            <v xml:space="preserve">Válvula de esfera em bronze roscável acionamento manual ø 2  </v>
          </cell>
          <cell r="H1430" t="str">
            <v xml:space="preserve">un    </v>
          </cell>
          <cell r="I1430">
            <v>2</v>
          </cell>
          <cell r="J1430">
            <v>21.2</v>
          </cell>
          <cell r="K1430">
            <v>19.32</v>
          </cell>
          <cell r="L1430">
            <v>42.4</v>
          </cell>
        </row>
        <row r="1431">
          <cell r="D1431" t="str">
            <v xml:space="preserve">  G.222.            </v>
          </cell>
          <cell r="E1431" t="str">
            <v xml:space="preserve">      </v>
          </cell>
          <cell r="F1431" t="str">
            <v>10.4.</v>
          </cell>
          <cell r="G1431" t="str">
            <v xml:space="preserve">Válvula de esfera em prolipropileno roscável  </v>
          </cell>
          <cell r="H1431" t="str">
            <v xml:space="preserve">      </v>
          </cell>
          <cell r="I1431">
            <v>0</v>
          </cell>
          <cell r="J1431">
            <v>0</v>
          </cell>
          <cell r="K1431">
            <v>0</v>
          </cell>
          <cell r="L1431">
            <v>0</v>
          </cell>
        </row>
        <row r="1432">
          <cell r="D1432" t="str">
            <v xml:space="preserve">  G.223.            </v>
          </cell>
          <cell r="E1432" t="str">
            <v>CP0435</v>
          </cell>
          <cell r="F1432" t="str">
            <v>10.4.1.</v>
          </cell>
          <cell r="G1432" t="str">
            <v xml:space="preserve">Válvula de esfera em prolipropileno roscável ø 2  </v>
          </cell>
          <cell r="H1432" t="str">
            <v xml:space="preserve">un    </v>
          </cell>
          <cell r="I1432">
            <v>1</v>
          </cell>
          <cell r="J1432">
            <v>9.81</v>
          </cell>
          <cell r="K1432">
            <v>53.8</v>
          </cell>
          <cell r="L1432">
            <v>9.81</v>
          </cell>
        </row>
        <row r="1433">
          <cell r="D1433" t="str">
            <v xml:space="preserve">  G.224.            </v>
          </cell>
          <cell r="E1433" t="str">
            <v xml:space="preserve">      </v>
          </cell>
          <cell r="F1433" t="str">
            <v>11.</v>
          </cell>
          <cell r="G1433" t="str">
            <v xml:space="preserve">Obras Diversas  </v>
          </cell>
          <cell r="H1433" t="str">
            <v xml:space="preserve">      </v>
          </cell>
          <cell r="I1433">
            <v>0</v>
          </cell>
          <cell r="J1433">
            <v>0</v>
          </cell>
          <cell r="K1433">
            <v>0</v>
          </cell>
          <cell r="L1433">
            <v>0</v>
          </cell>
        </row>
        <row r="1434">
          <cell r="D1434" t="str">
            <v xml:space="preserve">  G.225.            </v>
          </cell>
          <cell r="E1434" t="str">
            <v xml:space="preserve">      </v>
          </cell>
          <cell r="F1434" t="str">
            <v>11.1.</v>
          </cell>
          <cell r="G1434" t="str">
            <v xml:space="preserve">Alvenaria em blocos de concreto:  </v>
          </cell>
          <cell r="H1434" t="str">
            <v xml:space="preserve">      </v>
          </cell>
          <cell r="I1434">
            <v>0</v>
          </cell>
          <cell r="J1434">
            <v>0</v>
          </cell>
          <cell r="K1434">
            <v>0</v>
          </cell>
          <cell r="L1434">
            <v>0</v>
          </cell>
        </row>
        <row r="1435">
          <cell r="D1435" t="str">
            <v xml:space="preserve">  G.226.            </v>
          </cell>
          <cell r="E1435" t="str">
            <v>CP0047</v>
          </cell>
          <cell r="F1435" t="str">
            <v>11.1.1.</v>
          </cell>
          <cell r="G1435" t="str">
            <v xml:space="preserve">Alvenaria em blocos de concreto: 40 x 20 x 20, e = 20 cm  </v>
          </cell>
          <cell r="H1435" t="str">
            <v xml:space="preserve">m2    </v>
          </cell>
          <cell r="I1435">
            <v>393</v>
          </cell>
          <cell r="J1435">
            <v>45.68</v>
          </cell>
          <cell r="K1435">
            <v>50.25</v>
          </cell>
          <cell r="L1435">
            <v>17952.240000000002</v>
          </cell>
        </row>
        <row r="1436">
          <cell r="D1436" t="str">
            <v xml:space="preserve">  G.227.            </v>
          </cell>
          <cell r="E1436" t="str">
            <v>CP0049</v>
          </cell>
          <cell r="F1436" t="str">
            <v>11.1.2.</v>
          </cell>
          <cell r="G1436" t="str">
            <v xml:space="preserve">Alvenaria em blocos de concreto: 40 x 20 x 10, e = 10 cm  </v>
          </cell>
          <cell r="H1436" t="str">
            <v xml:space="preserve">m2    </v>
          </cell>
          <cell r="I1436">
            <v>64</v>
          </cell>
          <cell r="J1436">
            <v>33.6</v>
          </cell>
          <cell r="K1436">
            <v>28.21</v>
          </cell>
          <cell r="L1436">
            <v>2150.4</v>
          </cell>
        </row>
        <row r="1437">
          <cell r="D1437" t="str">
            <v xml:space="preserve">  G.228.            </v>
          </cell>
          <cell r="E1437" t="str">
            <v>CP0205</v>
          </cell>
          <cell r="F1437" t="str">
            <v>11.2.</v>
          </cell>
          <cell r="G1437" t="str">
            <v xml:space="preserve">Chapisco com cimento AF-32 e areia traço 1:3  </v>
          </cell>
          <cell r="H1437" t="str">
            <v xml:space="preserve">m2    </v>
          </cell>
          <cell r="I1437">
            <v>1114</v>
          </cell>
          <cell r="J1437">
            <v>3.1</v>
          </cell>
          <cell r="K1437">
            <v>3.58</v>
          </cell>
          <cell r="L1437">
            <v>3453.4</v>
          </cell>
        </row>
        <row r="1438">
          <cell r="D1438" t="str">
            <v xml:space="preserve">  G.229.            </v>
          </cell>
          <cell r="E1438" t="str">
            <v>CP0968</v>
          </cell>
          <cell r="F1438" t="str">
            <v>11.3.</v>
          </cell>
          <cell r="G1438" t="str">
            <v xml:space="preserve">Emboço com argamassa de cimento e saibro traço 1:6  </v>
          </cell>
          <cell r="H1438" t="str">
            <v xml:space="preserve">m2    </v>
          </cell>
          <cell r="I1438">
            <v>1114</v>
          </cell>
          <cell r="J1438">
            <v>11.33</v>
          </cell>
          <cell r="K1438">
            <v>16.16</v>
          </cell>
          <cell r="L1438">
            <v>12621.62</v>
          </cell>
        </row>
        <row r="1439">
          <cell r="D1439" t="str">
            <v xml:space="preserve">  G.230.            </v>
          </cell>
          <cell r="E1439" t="str">
            <v>CP0959</v>
          </cell>
          <cell r="F1439" t="str">
            <v>11.4.</v>
          </cell>
          <cell r="G1439" t="str">
            <v xml:space="preserve">Emboço para azulejo  </v>
          </cell>
          <cell r="H1439" t="str">
            <v xml:space="preserve">m2    </v>
          </cell>
          <cell r="I1439">
            <v>63</v>
          </cell>
          <cell r="J1439">
            <v>11.96</v>
          </cell>
          <cell r="K1439">
            <v>17.09</v>
          </cell>
          <cell r="L1439">
            <v>753.48</v>
          </cell>
        </row>
        <row r="1440">
          <cell r="D1440" t="str">
            <v xml:space="preserve">  G.231.            </v>
          </cell>
          <cell r="E1440" t="str">
            <v>CP0962</v>
          </cell>
          <cell r="F1440" t="str">
            <v>11.5.</v>
          </cell>
          <cell r="G1440" t="str">
            <v xml:space="preserve">Reboco paulista  </v>
          </cell>
          <cell r="H1440" t="str">
            <v xml:space="preserve">m2    </v>
          </cell>
          <cell r="I1440">
            <v>1051</v>
          </cell>
          <cell r="J1440">
            <v>14.51</v>
          </cell>
          <cell r="K1440">
            <v>24.95</v>
          </cell>
          <cell r="L1440">
            <v>15250.01</v>
          </cell>
        </row>
        <row r="1441">
          <cell r="D1441" t="str">
            <v xml:space="preserve">  G.232.            </v>
          </cell>
          <cell r="E1441" t="str">
            <v>CP0142</v>
          </cell>
          <cell r="F1441" t="str">
            <v>11.6.</v>
          </cell>
          <cell r="G1441" t="str">
            <v xml:space="preserve">Emassamento  </v>
          </cell>
          <cell r="H1441" t="str">
            <v xml:space="preserve">m2    </v>
          </cell>
          <cell r="I1441">
            <v>851</v>
          </cell>
          <cell r="J1441">
            <v>9.4700000000000006</v>
          </cell>
          <cell r="K1441">
            <v>7.92</v>
          </cell>
          <cell r="L1441">
            <v>8058.97</v>
          </cell>
        </row>
        <row r="1442">
          <cell r="D1442" t="str">
            <v xml:space="preserve">  G.233.            </v>
          </cell>
          <cell r="E1442" t="str">
            <v xml:space="preserve">      </v>
          </cell>
          <cell r="F1442" t="str">
            <v>11.7.</v>
          </cell>
          <cell r="G1442" t="str">
            <v xml:space="preserve">Pinturas sem massa corrida:  </v>
          </cell>
          <cell r="H1442" t="str">
            <v xml:space="preserve">      </v>
          </cell>
          <cell r="I1442">
            <v>0</v>
          </cell>
          <cell r="J1442">
            <v>0</v>
          </cell>
          <cell r="K1442">
            <v>0</v>
          </cell>
          <cell r="L1442">
            <v>0</v>
          </cell>
        </row>
        <row r="1443">
          <cell r="D1443" t="str">
            <v xml:space="preserve">  G.234.            </v>
          </cell>
          <cell r="E1443" t="str">
            <v>CP0233</v>
          </cell>
          <cell r="F1443" t="str">
            <v>11.7.1.</v>
          </cell>
          <cell r="G1443" t="str">
            <v xml:space="preserve">Esmalte sintético acetinado cor branco gelo da CORAL ou similar  </v>
          </cell>
          <cell r="H1443" t="str">
            <v xml:space="preserve">m2    </v>
          </cell>
          <cell r="I1443">
            <v>200</v>
          </cell>
          <cell r="J1443">
            <v>8.7899999999999991</v>
          </cell>
          <cell r="K1443">
            <v>12.55</v>
          </cell>
          <cell r="L1443">
            <v>1758</v>
          </cell>
        </row>
        <row r="1444">
          <cell r="D1444" t="str">
            <v xml:space="preserve">  G.235.            </v>
          </cell>
          <cell r="E1444" t="str">
            <v>CP0259</v>
          </cell>
          <cell r="F1444" t="str">
            <v>11.7.2.</v>
          </cell>
          <cell r="G1444" t="str">
            <v xml:space="preserve">Pintura epoxi cor branco gelo (2 demãos)  </v>
          </cell>
          <cell r="H1444" t="str">
            <v xml:space="preserve">m2    </v>
          </cell>
          <cell r="I1444">
            <v>399</v>
          </cell>
          <cell r="J1444">
            <v>15.9</v>
          </cell>
          <cell r="K1444">
            <v>22.71</v>
          </cell>
          <cell r="L1444">
            <v>6344.1</v>
          </cell>
        </row>
        <row r="1445">
          <cell r="D1445" t="str">
            <v xml:space="preserve">  G.236.            </v>
          </cell>
          <cell r="E1445" t="str">
            <v>CP0227</v>
          </cell>
          <cell r="F1445" t="str">
            <v>11.7.3.</v>
          </cell>
          <cell r="G1445" t="str">
            <v xml:space="preserve">Revestimento Acril-color L/T liso da FACE-COLOR ou similar referência de tonalidade 1226 P da CORAL ou similar  </v>
          </cell>
          <cell r="H1445" t="str">
            <v xml:space="preserve">m2    </v>
          </cell>
          <cell r="I1445">
            <v>271</v>
          </cell>
          <cell r="J1445">
            <v>9.35</v>
          </cell>
          <cell r="K1445">
            <v>15.34</v>
          </cell>
          <cell r="L1445">
            <v>2533.85</v>
          </cell>
        </row>
        <row r="1446">
          <cell r="D1446" t="str">
            <v xml:space="preserve">  G.237.            </v>
          </cell>
          <cell r="E1446" t="str">
            <v>CP0221</v>
          </cell>
          <cell r="F1446" t="str">
            <v>11.7.4.</v>
          </cell>
          <cell r="G1446" t="str">
            <v xml:space="preserve">Revestimento Acril-color L/T liso da FACE-COLOR, ou similar referência de tonalidade 1232 M da CORAL ou similar  </v>
          </cell>
          <cell r="H1446" t="str">
            <v xml:space="preserve">m2    </v>
          </cell>
          <cell r="I1446">
            <v>152</v>
          </cell>
          <cell r="J1446">
            <v>10.74</v>
          </cell>
          <cell r="K1446">
            <v>15.34</v>
          </cell>
          <cell r="L1446">
            <v>1632.48</v>
          </cell>
        </row>
        <row r="1447">
          <cell r="D1447" t="str">
            <v xml:space="preserve">  G.238.            </v>
          </cell>
          <cell r="E1447" t="str">
            <v xml:space="preserve">      </v>
          </cell>
          <cell r="F1447" t="str">
            <v>11.8.</v>
          </cell>
          <cell r="G1447" t="str">
            <v xml:space="preserve">Revestimentos cerâmicos paredes/pisos:  </v>
          </cell>
          <cell r="H1447" t="str">
            <v xml:space="preserve">      </v>
          </cell>
          <cell r="I1447">
            <v>0</v>
          </cell>
          <cell r="J1447">
            <v>0</v>
          </cell>
          <cell r="K1447">
            <v>0</v>
          </cell>
          <cell r="L1447">
            <v>0</v>
          </cell>
        </row>
        <row r="1448">
          <cell r="D1448" t="str">
            <v xml:space="preserve">  G.239.            </v>
          </cell>
          <cell r="E1448" t="str">
            <v>CP0110</v>
          </cell>
          <cell r="F1448" t="str">
            <v>11.8.1.</v>
          </cell>
          <cell r="G1448" t="str">
            <v xml:space="preserve">Cerâmica arquiteto alumínio 10 x 10 da PORTOBELLO ou similar  </v>
          </cell>
          <cell r="H1448" t="str">
            <v xml:space="preserve">m2    </v>
          </cell>
          <cell r="I1448">
            <v>52</v>
          </cell>
          <cell r="J1448">
            <v>47.51</v>
          </cell>
          <cell r="K1448">
            <v>62.24</v>
          </cell>
          <cell r="L1448">
            <v>2470.52</v>
          </cell>
        </row>
        <row r="1449">
          <cell r="D1449" t="str">
            <v xml:space="preserve">  G.240.            </v>
          </cell>
          <cell r="E1449" t="str">
            <v>CP0214</v>
          </cell>
          <cell r="F1449" t="str">
            <v>11.8.2.</v>
          </cell>
          <cell r="G1449" t="str">
            <v xml:space="preserve">Cerâmica arquiteto preto (10 x 10), da PORTOBELLO ou similar  </v>
          </cell>
          <cell r="H1449" t="str">
            <v xml:space="preserve">m2    </v>
          </cell>
          <cell r="I1449">
            <v>2</v>
          </cell>
          <cell r="J1449">
            <v>54.76</v>
          </cell>
          <cell r="K1449">
            <v>66.47</v>
          </cell>
          <cell r="L1449">
            <v>109.52</v>
          </cell>
        </row>
        <row r="1450">
          <cell r="D1450" t="str">
            <v xml:space="preserve">  G.241.            </v>
          </cell>
          <cell r="E1450" t="str">
            <v>CP0140</v>
          </cell>
          <cell r="F1450" t="str">
            <v>11.8.3.</v>
          </cell>
          <cell r="G1450" t="str">
            <v xml:space="preserve">Cerâmica laser cinza (30 x 8) - PORTOBELLO ou similar  </v>
          </cell>
          <cell r="H1450" t="str">
            <v xml:space="preserve">m2    </v>
          </cell>
          <cell r="I1450">
            <v>2</v>
          </cell>
          <cell r="J1450">
            <v>33.479999999999997</v>
          </cell>
          <cell r="K1450">
            <v>30.61</v>
          </cell>
          <cell r="L1450">
            <v>66.959999999999994</v>
          </cell>
        </row>
        <row r="1451">
          <cell r="D1451" t="str">
            <v xml:space="preserve">  G.242.            </v>
          </cell>
          <cell r="E1451" t="str">
            <v>CP0130</v>
          </cell>
          <cell r="F1451" t="str">
            <v>11.8.4.</v>
          </cell>
          <cell r="G1451" t="str">
            <v xml:space="preserve">Cerâmica arquiteto alumínio (30 x 30), PORTOBELLO ou similar  </v>
          </cell>
          <cell r="H1451" t="str">
            <v xml:space="preserve">m2    </v>
          </cell>
          <cell r="I1451">
            <v>51</v>
          </cell>
          <cell r="J1451">
            <v>47.04</v>
          </cell>
          <cell r="K1451">
            <v>51.84</v>
          </cell>
          <cell r="L1451">
            <v>2399.04</v>
          </cell>
        </row>
        <row r="1452">
          <cell r="D1452" t="str">
            <v xml:space="preserve">  G.243.            </v>
          </cell>
          <cell r="E1452" t="str">
            <v>CP0121</v>
          </cell>
          <cell r="F1452" t="str">
            <v>11.8.5.</v>
          </cell>
          <cell r="G1452" t="str">
            <v xml:space="preserve">Filete torello gray da PORTOBELLO ou similar  </v>
          </cell>
          <cell r="H1452" t="str">
            <v xml:space="preserve">m     </v>
          </cell>
          <cell r="I1452">
            <v>16</v>
          </cell>
          <cell r="J1452">
            <v>30.79</v>
          </cell>
          <cell r="K1452">
            <v>25.66</v>
          </cell>
          <cell r="L1452">
            <v>492.64</v>
          </cell>
        </row>
        <row r="1453">
          <cell r="D1453" t="str">
            <v xml:space="preserve">  G.244.            </v>
          </cell>
          <cell r="E1453" t="str">
            <v>CP0137</v>
          </cell>
          <cell r="F1453" t="str">
            <v>11.8.6.</v>
          </cell>
          <cell r="G1453" t="str">
            <v xml:space="preserve">Cerâmica laser cinza (30 x 30) PORTOBELLO ou similar  </v>
          </cell>
          <cell r="H1453" t="str">
            <v xml:space="preserve">m2    </v>
          </cell>
          <cell r="I1453">
            <v>27</v>
          </cell>
          <cell r="J1453">
            <v>65.16</v>
          </cell>
          <cell r="K1453">
            <v>62.05</v>
          </cell>
          <cell r="L1453">
            <v>1759.32</v>
          </cell>
        </row>
        <row r="1454">
          <cell r="D1454" t="str">
            <v xml:space="preserve">  G.245.            </v>
          </cell>
          <cell r="E1454" t="str">
            <v>CP0128</v>
          </cell>
          <cell r="F1454" t="str">
            <v>11.8.7.</v>
          </cell>
          <cell r="G1454" t="str">
            <v xml:space="preserve">Cimentado rústico espessura 3 cm, com junta plástica  </v>
          </cell>
          <cell r="H1454" t="str">
            <v xml:space="preserve">m2    </v>
          </cell>
          <cell r="I1454">
            <v>217</v>
          </cell>
          <cell r="J1454">
            <v>16.27</v>
          </cell>
          <cell r="K1454">
            <v>13.82</v>
          </cell>
          <cell r="L1454">
            <v>3530.59</v>
          </cell>
        </row>
        <row r="1455">
          <cell r="D1455" t="str">
            <v xml:space="preserve">  G.246.            </v>
          </cell>
          <cell r="E1455" t="str">
            <v xml:space="preserve">      </v>
          </cell>
          <cell r="F1455" t="str">
            <v>11.9.</v>
          </cell>
          <cell r="G1455" t="str">
            <v xml:space="preserve">Esquadrias  </v>
          </cell>
          <cell r="H1455" t="str">
            <v xml:space="preserve">      </v>
          </cell>
          <cell r="I1455">
            <v>0</v>
          </cell>
          <cell r="J1455">
            <v>0</v>
          </cell>
          <cell r="K1455">
            <v>0</v>
          </cell>
          <cell r="L1455">
            <v>0</v>
          </cell>
        </row>
        <row r="1456">
          <cell r="D1456" t="str">
            <v xml:space="preserve">  G.247.            </v>
          </cell>
          <cell r="E1456" t="str">
            <v>CP0117</v>
          </cell>
          <cell r="F1456" t="str">
            <v>11.9.1.</v>
          </cell>
          <cell r="G1456" t="str">
            <v xml:space="preserve">Janela veneziana como-vent, em alumínio anodizado preto, inclusive acessórios, conforme projeto  </v>
          </cell>
          <cell r="H1456" t="str">
            <v xml:space="preserve">m2    </v>
          </cell>
          <cell r="I1456">
            <v>98</v>
          </cell>
          <cell r="J1456">
            <v>503.71</v>
          </cell>
          <cell r="K1456">
            <v>517.29999999999995</v>
          </cell>
          <cell r="L1456">
            <v>49363.58</v>
          </cell>
        </row>
        <row r="1457">
          <cell r="D1457" t="str">
            <v xml:space="preserve">  G.248.            </v>
          </cell>
          <cell r="E1457" t="str">
            <v>CP3001</v>
          </cell>
          <cell r="F1457" t="str">
            <v>11.9.2.</v>
          </cell>
          <cell r="G1457" t="str">
            <v xml:space="preserve">Janela maxim-ar, em alumínio anodizado preto, inclusive acessórios, conforme projeto  </v>
          </cell>
          <cell r="H1457" t="str">
            <v xml:space="preserve">m2    </v>
          </cell>
          <cell r="I1457">
            <v>13</v>
          </cell>
          <cell r="J1457">
            <v>361.22</v>
          </cell>
          <cell r="K1457">
            <v>301.14999999999998</v>
          </cell>
          <cell r="L1457">
            <v>4695.8599999999997</v>
          </cell>
        </row>
        <row r="1458">
          <cell r="D1458" t="str">
            <v xml:space="preserve">  G.249.            </v>
          </cell>
          <cell r="E1458" t="str">
            <v xml:space="preserve">      </v>
          </cell>
          <cell r="F1458" t="str">
            <v>11.10.</v>
          </cell>
          <cell r="G1458" t="str">
            <v xml:space="preserve">Portas  </v>
          </cell>
          <cell r="H1458" t="str">
            <v xml:space="preserve">      </v>
          </cell>
          <cell r="I1458">
            <v>0</v>
          </cell>
          <cell r="J1458">
            <v>0</v>
          </cell>
          <cell r="K1458">
            <v>0</v>
          </cell>
          <cell r="L1458">
            <v>0</v>
          </cell>
        </row>
        <row r="1459">
          <cell r="D1459" t="str">
            <v xml:space="preserve">  G.250.            </v>
          </cell>
          <cell r="E1459" t="str">
            <v>CP0115</v>
          </cell>
          <cell r="F1459" t="str">
            <v>11.10.1.</v>
          </cell>
          <cell r="G1459" t="str">
            <v xml:space="preserve">Porta de correr/maxim-ar em alumínio anodizado preto, inclusive acessórios conforme projeto  </v>
          </cell>
          <cell r="H1459" t="str">
            <v xml:space="preserve">m2    </v>
          </cell>
          <cell r="I1459">
            <v>13</v>
          </cell>
          <cell r="J1459">
            <v>366.09</v>
          </cell>
          <cell r="K1459">
            <v>425.6</v>
          </cell>
          <cell r="L1459">
            <v>4759.17</v>
          </cell>
        </row>
        <row r="1460">
          <cell r="D1460" t="str">
            <v xml:space="preserve">  G.251.            </v>
          </cell>
          <cell r="E1460" t="str">
            <v>CP0115</v>
          </cell>
          <cell r="F1460" t="str">
            <v>11.10.2.</v>
          </cell>
          <cell r="G1460" t="str">
            <v xml:space="preserve">Portões de correr em alumínio anodizado preto  </v>
          </cell>
          <cell r="H1460" t="str">
            <v xml:space="preserve">m2    </v>
          </cell>
          <cell r="I1460">
            <v>30</v>
          </cell>
          <cell r="J1460">
            <v>366.09</v>
          </cell>
          <cell r="K1460">
            <v>556.6</v>
          </cell>
          <cell r="L1460">
            <v>10982.7</v>
          </cell>
        </row>
        <row r="1461">
          <cell r="D1461" t="str">
            <v xml:space="preserve">  G.252.            </v>
          </cell>
          <cell r="E1461" t="str">
            <v>CP0146</v>
          </cell>
          <cell r="F1461" t="str">
            <v>11.10.3.</v>
          </cell>
          <cell r="G1461" t="str">
            <v xml:space="preserve">Porta prancheta 80 x 210, revestida com esmalte, inclusive marcos, alizares, ferragens, mola  </v>
          </cell>
          <cell r="H1461" t="str">
            <v xml:space="preserve">un    </v>
          </cell>
          <cell r="I1461">
            <v>1</v>
          </cell>
          <cell r="J1461">
            <v>631.55999999999995</v>
          </cell>
          <cell r="K1461">
            <v>708.46</v>
          </cell>
          <cell r="L1461">
            <v>631.55999999999995</v>
          </cell>
        </row>
        <row r="1462">
          <cell r="D1462" t="str">
            <v xml:space="preserve">  G.253.            </v>
          </cell>
          <cell r="E1462" t="str">
            <v>CP0123</v>
          </cell>
          <cell r="F1462" t="str">
            <v>11.10.4.</v>
          </cell>
          <cell r="G1462" t="str">
            <v xml:space="preserve">Porta prancheta (60 x 210) revestida com esmalte inclusive marcos, alizares, ferragens, mola  </v>
          </cell>
          <cell r="H1462" t="str">
            <v xml:space="preserve">un    </v>
          </cell>
          <cell r="I1462">
            <v>3</v>
          </cell>
          <cell r="J1462">
            <v>631.55999999999995</v>
          </cell>
          <cell r="K1462">
            <v>530.21</v>
          </cell>
          <cell r="L1462">
            <v>1894.68</v>
          </cell>
        </row>
        <row r="1463">
          <cell r="D1463" t="str">
            <v xml:space="preserve">  G.254.            </v>
          </cell>
          <cell r="E1463" t="str">
            <v xml:space="preserve">      </v>
          </cell>
          <cell r="F1463" t="str">
            <v>11.11.</v>
          </cell>
          <cell r="G1463" t="str">
            <v xml:space="preserve">Vidros fumê:  </v>
          </cell>
          <cell r="H1463" t="str">
            <v xml:space="preserve">      </v>
          </cell>
          <cell r="I1463">
            <v>0</v>
          </cell>
          <cell r="J1463">
            <v>0</v>
          </cell>
          <cell r="K1463">
            <v>0</v>
          </cell>
          <cell r="L1463">
            <v>0</v>
          </cell>
        </row>
        <row r="1464">
          <cell r="D1464" t="str">
            <v xml:space="preserve">  G.255.            </v>
          </cell>
          <cell r="E1464" t="str">
            <v>CP0136</v>
          </cell>
          <cell r="F1464" t="str">
            <v>11.11.1.</v>
          </cell>
          <cell r="G1464" t="str">
            <v xml:space="preserve">Vidros fumê: temperado espessura = 4 mm  </v>
          </cell>
          <cell r="H1464" t="str">
            <v xml:space="preserve">m2    </v>
          </cell>
          <cell r="I1464">
            <v>26</v>
          </cell>
          <cell r="J1464">
            <v>189.24</v>
          </cell>
          <cell r="K1464">
            <v>158.84</v>
          </cell>
          <cell r="L1464">
            <v>4920.24</v>
          </cell>
        </row>
        <row r="1465">
          <cell r="D1465" t="str">
            <v xml:space="preserve">  G.256.            </v>
          </cell>
          <cell r="E1465" t="str">
            <v xml:space="preserve">      </v>
          </cell>
          <cell r="F1465" t="str">
            <v>11.12.</v>
          </cell>
          <cell r="G1465" t="str">
            <v xml:space="preserve">Cobertura  </v>
          </cell>
          <cell r="H1465" t="str">
            <v xml:space="preserve">      </v>
          </cell>
          <cell r="I1465">
            <v>0</v>
          </cell>
          <cell r="J1465">
            <v>0</v>
          </cell>
          <cell r="K1465">
            <v>0</v>
          </cell>
          <cell r="L1465">
            <v>0</v>
          </cell>
        </row>
        <row r="1466">
          <cell r="D1466" t="str">
            <v xml:space="preserve">  G.257.            </v>
          </cell>
          <cell r="E1466" t="str">
            <v>CP0985</v>
          </cell>
          <cell r="F1466" t="str">
            <v>11.12.1.</v>
          </cell>
          <cell r="G1466" t="str">
            <v xml:space="preserve">Estrutura e cobertura em telha de fibrocimento ondulada 8 mm - pontaletada  </v>
          </cell>
          <cell r="H1466" t="str">
            <v xml:space="preserve">m2    </v>
          </cell>
          <cell r="I1466">
            <v>200</v>
          </cell>
          <cell r="J1466">
            <v>67.599999999999994</v>
          </cell>
          <cell r="K1466">
            <v>65.81</v>
          </cell>
          <cell r="L1466">
            <v>13520</v>
          </cell>
        </row>
        <row r="1467">
          <cell r="D1467" t="str">
            <v xml:space="preserve">  G.258.            </v>
          </cell>
          <cell r="E1467" t="str">
            <v>CP0133</v>
          </cell>
          <cell r="F1467" t="str">
            <v>11.12.2.</v>
          </cell>
          <cell r="G1467" t="str">
            <v xml:space="preserve">Calha em chapa galvanizada MSG 16  </v>
          </cell>
          <cell r="H1467" t="str">
            <v xml:space="preserve">m     </v>
          </cell>
          <cell r="I1467">
            <v>59</v>
          </cell>
          <cell r="J1467">
            <v>106.29</v>
          </cell>
          <cell r="K1467">
            <v>233.63</v>
          </cell>
          <cell r="L1467">
            <v>6271.11</v>
          </cell>
        </row>
        <row r="1468">
          <cell r="D1468" t="str">
            <v xml:space="preserve">  G.259.            </v>
          </cell>
          <cell r="E1468" t="str">
            <v>CP0276</v>
          </cell>
          <cell r="F1468" t="str">
            <v>11.12.3.</v>
          </cell>
          <cell r="G1468" t="str">
            <v xml:space="preserve">Rufo em chapa galvanizada  </v>
          </cell>
          <cell r="H1468" t="str">
            <v xml:space="preserve">m     </v>
          </cell>
          <cell r="I1468">
            <v>30</v>
          </cell>
          <cell r="J1468">
            <v>36.020000000000003</v>
          </cell>
          <cell r="K1468">
            <v>51.45</v>
          </cell>
          <cell r="L1468">
            <v>1080.5999999999999</v>
          </cell>
        </row>
        <row r="1469">
          <cell r="D1469" t="str">
            <v xml:space="preserve">  G.260.            </v>
          </cell>
          <cell r="E1469" t="str">
            <v>CP0114</v>
          </cell>
          <cell r="F1469" t="str">
            <v>11.12.4.</v>
          </cell>
          <cell r="G1469" t="str">
            <v xml:space="preserve">Impermeabilização de laje  </v>
          </cell>
          <cell r="H1469" t="str">
            <v xml:space="preserve">m2    </v>
          </cell>
          <cell r="I1469">
            <v>17</v>
          </cell>
          <cell r="J1469">
            <v>76.59</v>
          </cell>
          <cell r="K1469">
            <v>109.41</v>
          </cell>
          <cell r="L1469">
            <v>1302.03</v>
          </cell>
        </row>
        <row r="1470">
          <cell r="D1470" t="str">
            <v xml:space="preserve">  G.261.            </v>
          </cell>
          <cell r="E1470" t="str">
            <v xml:space="preserve">      </v>
          </cell>
          <cell r="F1470" t="str">
            <v>11.13.</v>
          </cell>
          <cell r="G1470" t="str">
            <v xml:space="preserve">Diversos  </v>
          </cell>
          <cell r="H1470" t="str">
            <v xml:space="preserve">      </v>
          </cell>
          <cell r="I1470">
            <v>0</v>
          </cell>
          <cell r="J1470">
            <v>0</v>
          </cell>
          <cell r="K1470">
            <v>0</v>
          </cell>
          <cell r="L1470">
            <v>0</v>
          </cell>
        </row>
        <row r="1471">
          <cell r="D1471" t="str">
            <v xml:space="preserve">  G.262.            </v>
          </cell>
          <cell r="E1471" t="str">
            <v>CP0135</v>
          </cell>
          <cell r="F1471" t="str">
            <v>11.13.1.</v>
          </cell>
          <cell r="G1471" t="str">
            <v xml:space="preserve">Guarda corpo para escada, inclusive acessórios, conforme projeto  </v>
          </cell>
          <cell r="H1471" t="str">
            <v xml:space="preserve">m     </v>
          </cell>
          <cell r="I1471">
            <v>24</v>
          </cell>
          <cell r="J1471">
            <v>129.85</v>
          </cell>
          <cell r="K1471">
            <v>108.46</v>
          </cell>
          <cell r="L1471">
            <v>3116.4</v>
          </cell>
        </row>
        <row r="1472">
          <cell r="D1472" t="str">
            <v xml:space="preserve">  G.263.            </v>
          </cell>
          <cell r="E1472" t="str">
            <v>CP0113</v>
          </cell>
          <cell r="F1472" t="str">
            <v>11.13.2.</v>
          </cell>
          <cell r="G1472" t="str">
            <v xml:space="preserve">Bancada em granito cinza andorinha, e = 3 cm  </v>
          </cell>
          <cell r="H1472" t="str">
            <v xml:space="preserve">m2    </v>
          </cell>
          <cell r="I1472">
            <v>9</v>
          </cell>
          <cell r="J1472">
            <v>241</v>
          </cell>
          <cell r="K1472">
            <v>380.72</v>
          </cell>
          <cell r="L1472">
            <v>2169</v>
          </cell>
        </row>
        <row r="1473">
          <cell r="D1473" t="str">
            <v xml:space="preserve">  G.264.            </v>
          </cell>
          <cell r="E1473" t="str">
            <v>CP0112</v>
          </cell>
          <cell r="F1473" t="str">
            <v>11.13.3.</v>
          </cell>
          <cell r="G1473" t="str">
            <v xml:space="preserve">Soleira em granito cinza andorinha e = 2 cm  </v>
          </cell>
          <cell r="H1473" t="str">
            <v xml:space="preserve">m     </v>
          </cell>
          <cell r="I1473">
            <v>3</v>
          </cell>
          <cell r="J1473">
            <v>54.79</v>
          </cell>
          <cell r="K1473">
            <v>78.27</v>
          </cell>
          <cell r="L1473">
            <v>164.37</v>
          </cell>
        </row>
        <row r="1474">
          <cell r="D1474" t="str">
            <v xml:space="preserve">  G.265.            </v>
          </cell>
          <cell r="E1474" t="str">
            <v xml:space="preserve">      </v>
          </cell>
          <cell r="F1474" t="str">
            <v>11.14.</v>
          </cell>
          <cell r="G1474" t="str">
            <v xml:space="preserve">Limpeza da obra:  </v>
          </cell>
          <cell r="H1474" t="str">
            <v xml:space="preserve">      </v>
          </cell>
          <cell r="I1474">
            <v>0</v>
          </cell>
          <cell r="J1474">
            <v>0</v>
          </cell>
          <cell r="K1474">
            <v>0</v>
          </cell>
          <cell r="L1474">
            <v>0</v>
          </cell>
        </row>
        <row r="1475">
          <cell r="D1475" t="str">
            <v xml:space="preserve">  G.266.            </v>
          </cell>
          <cell r="E1475" t="str">
            <v xml:space="preserve">      </v>
          </cell>
          <cell r="F1475" t="str">
            <v>11.14.1.</v>
          </cell>
          <cell r="G1475" t="str">
            <v xml:space="preserve">Remoção de entulho, inclusive bota-fora em local apropriado:  </v>
          </cell>
          <cell r="H1475" t="str">
            <v xml:space="preserve">      </v>
          </cell>
          <cell r="I1475">
            <v>0</v>
          </cell>
          <cell r="J1475">
            <v>0</v>
          </cell>
          <cell r="K1475">
            <v>0</v>
          </cell>
          <cell r="L1475">
            <v>0</v>
          </cell>
        </row>
        <row r="1476">
          <cell r="D1476" t="str">
            <v xml:space="preserve">  G.267.            </v>
          </cell>
          <cell r="E1476" t="str">
            <v>CP1085</v>
          </cell>
          <cell r="F1476" t="str">
            <v>11.14.1.1.</v>
          </cell>
          <cell r="G1476" t="str">
            <v xml:space="preserve">Carga mecânica de material, em geral exceto rocha em caminhão basculante  </v>
          </cell>
          <cell r="H1476" t="str">
            <v xml:space="preserve">m3    </v>
          </cell>
          <cell r="I1476">
            <v>3</v>
          </cell>
          <cell r="J1476">
            <v>1.23</v>
          </cell>
          <cell r="K1476">
            <v>1.74</v>
          </cell>
          <cell r="L1476">
            <v>3.69</v>
          </cell>
        </row>
        <row r="1477">
          <cell r="D1477" t="str">
            <v xml:space="preserve">  G.268.            </v>
          </cell>
          <cell r="E1477" t="str">
            <v>CP1070</v>
          </cell>
          <cell r="F1477" t="str">
            <v>11.14.1.2.</v>
          </cell>
          <cell r="G1477" t="str">
            <v xml:space="preserve">Transporte mecânico de material a granel em caminhão basculante  </v>
          </cell>
          <cell r="H1477" t="str">
            <v xml:space="preserve">m3xkm </v>
          </cell>
          <cell r="I1477">
            <v>27</v>
          </cell>
          <cell r="J1477">
            <v>2.38</v>
          </cell>
          <cell r="K1477">
            <v>2.35</v>
          </cell>
          <cell r="L1477">
            <v>64.260000000000005</v>
          </cell>
        </row>
        <row r="1478">
          <cell r="D1478" t="str">
            <v xml:space="preserve">  G.269.            </v>
          </cell>
          <cell r="E1478" t="str">
            <v>CP0633</v>
          </cell>
          <cell r="F1478" t="str">
            <v>11.14.2.</v>
          </cell>
          <cell r="G1478" t="str">
            <v xml:space="preserve">Limpeza de vidros  </v>
          </cell>
          <cell r="H1478" t="str">
            <v xml:space="preserve">m2    </v>
          </cell>
          <cell r="I1478">
            <v>26</v>
          </cell>
          <cell r="J1478">
            <v>3.47</v>
          </cell>
          <cell r="K1478">
            <v>5.47</v>
          </cell>
          <cell r="L1478">
            <v>90.22</v>
          </cell>
        </row>
        <row r="1479">
          <cell r="D1479" t="str">
            <v xml:space="preserve">  G.270.            </v>
          </cell>
          <cell r="E1479" t="str">
            <v>CP0640</v>
          </cell>
          <cell r="F1479" t="str">
            <v>11.14.3.</v>
          </cell>
          <cell r="G1479" t="str">
            <v xml:space="preserve">Limpeza de pisos e revestimentos  </v>
          </cell>
          <cell r="H1479" t="str">
            <v xml:space="preserve">m2    </v>
          </cell>
          <cell r="I1479">
            <v>352</v>
          </cell>
          <cell r="J1479">
            <v>3.47</v>
          </cell>
          <cell r="K1479">
            <v>4.82</v>
          </cell>
          <cell r="L1479">
            <v>1221.44</v>
          </cell>
        </row>
        <row r="1480">
          <cell r="D1480" t="str">
            <v xml:space="preserve">  H.271.            </v>
          </cell>
          <cell r="E1480" t="str">
            <v xml:space="preserve">      </v>
          </cell>
          <cell r="F1480" t="str">
            <v>0.VII.I.</v>
          </cell>
          <cell r="G1480" t="str">
            <v xml:space="preserve">SUBESTAÇÃO  </v>
          </cell>
          <cell r="H1480" t="str">
            <v xml:space="preserve">      </v>
          </cell>
          <cell r="I1480">
            <v>0</v>
          </cell>
          <cell r="J1480">
            <v>0</v>
          </cell>
          <cell r="K1480">
            <v>0</v>
          </cell>
          <cell r="L1480">
            <v>0</v>
          </cell>
        </row>
        <row r="1481">
          <cell r="D1481" t="str">
            <v xml:space="preserve">  H.272.            </v>
          </cell>
          <cell r="E1481" t="str">
            <v xml:space="preserve">      </v>
          </cell>
          <cell r="F1481" t="str">
            <v>1.</v>
          </cell>
          <cell r="G1481" t="str">
            <v xml:space="preserve">Serviços Preliminares  </v>
          </cell>
          <cell r="H1481" t="str">
            <v xml:space="preserve">      </v>
          </cell>
          <cell r="I1481">
            <v>0</v>
          </cell>
          <cell r="J1481">
            <v>0</v>
          </cell>
          <cell r="K1481">
            <v>0</v>
          </cell>
          <cell r="L1481">
            <v>0</v>
          </cell>
        </row>
        <row r="1482">
          <cell r="D1482" t="str">
            <v xml:space="preserve">  H.273.            </v>
          </cell>
          <cell r="E1482" t="str">
            <v>CP1163</v>
          </cell>
          <cell r="F1482" t="str">
            <v>1.1.</v>
          </cell>
          <cell r="G1482" t="str">
            <v xml:space="preserve">Locacão da obra de edificação com execução de gabarito  </v>
          </cell>
          <cell r="H1482" t="str">
            <v xml:space="preserve">m2    </v>
          </cell>
          <cell r="I1482">
            <v>49</v>
          </cell>
          <cell r="J1482">
            <v>4.3099999999999996</v>
          </cell>
          <cell r="K1482">
            <v>3.61</v>
          </cell>
          <cell r="L1482">
            <v>211.19</v>
          </cell>
        </row>
        <row r="1483">
          <cell r="D1483" t="str">
            <v xml:space="preserve">  H.274.            </v>
          </cell>
          <cell r="E1483" t="str">
            <v>CP1152</v>
          </cell>
          <cell r="F1483" t="str">
            <v>1.2.</v>
          </cell>
          <cell r="G1483" t="str">
            <v xml:space="preserve">Limpeza mecânica do terreno  </v>
          </cell>
          <cell r="H1483" t="str">
            <v xml:space="preserve">m2    </v>
          </cell>
          <cell r="I1483">
            <v>49</v>
          </cell>
          <cell r="J1483">
            <v>0.55000000000000004</v>
          </cell>
          <cell r="K1483">
            <v>0.46</v>
          </cell>
          <cell r="L1483">
            <v>26.95</v>
          </cell>
        </row>
        <row r="1484">
          <cell r="D1484" t="str">
            <v xml:space="preserve">  H.275.            </v>
          </cell>
          <cell r="E1484" t="str">
            <v xml:space="preserve">      </v>
          </cell>
          <cell r="F1484" t="str">
            <v>2.</v>
          </cell>
          <cell r="G1484" t="str">
            <v xml:space="preserve">Movimento de Terra  </v>
          </cell>
          <cell r="H1484" t="str">
            <v xml:space="preserve">      </v>
          </cell>
          <cell r="I1484">
            <v>0</v>
          </cell>
          <cell r="J1484">
            <v>0</v>
          </cell>
          <cell r="K1484">
            <v>0</v>
          </cell>
          <cell r="L1484">
            <v>0</v>
          </cell>
        </row>
        <row r="1485">
          <cell r="D1485" t="str">
            <v xml:space="preserve">  H.276.            </v>
          </cell>
          <cell r="E1485" t="str">
            <v>CP1141</v>
          </cell>
          <cell r="F1485" t="str">
            <v>2.1.</v>
          </cell>
          <cell r="G1485" t="str">
            <v xml:space="preserve">Escavação mecânica em áreas solo de qualquer natureza exceto rocha, inclusive carga e descarga  </v>
          </cell>
          <cell r="H1485" t="str">
            <v xml:space="preserve">m³    </v>
          </cell>
          <cell r="I1485">
            <v>32</v>
          </cell>
          <cell r="J1485">
            <v>3.89</v>
          </cell>
          <cell r="K1485">
            <v>5.55</v>
          </cell>
          <cell r="L1485">
            <v>124.48</v>
          </cell>
        </row>
        <row r="1486">
          <cell r="D1486" t="str">
            <v xml:space="preserve">  H.277.            </v>
          </cell>
          <cell r="E1486" t="str">
            <v>CP1109</v>
          </cell>
          <cell r="F1486" t="str">
            <v>2.2.</v>
          </cell>
          <cell r="G1486" t="str">
            <v xml:space="preserve">Extração de rocha a frio em valas  </v>
          </cell>
          <cell r="H1486" t="str">
            <v xml:space="preserve">m³    </v>
          </cell>
          <cell r="I1486">
            <v>4</v>
          </cell>
          <cell r="J1486">
            <v>302.83999999999997</v>
          </cell>
          <cell r="K1486">
            <v>432.63</v>
          </cell>
          <cell r="L1486">
            <v>1211.3599999999999</v>
          </cell>
        </row>
        <row r="1487">
          <cell r="D1487" t="str">
            <v xml:space="preserve">  H.278.            </v>
          </cell>
          <cell r="E1487" t="str">
            <v>CP1131</v>
          </cell>
          <cell r="F1487" t="str">
            <v>2.3.</v>
          </cell>
          <cell r="G1487" t="str">
            <v xml:space="preserve">Escavação manual material de 1ª categoria prof. até 1,50m  </v>
          </cell>
          <cell r="H1487" t="str">
            <v xml:space="preserve">m³    </v>
          </cell>
          <cell r="I1487">
            <v>8</v>
          </cell>
          <cell r="J1487">
            <v>20.89</v>
          </cell>
          <cell r="K1487">
            <v>19.02</v>
          </cell>
          <cell r="L1487">
            <v>167.12</v>
          </cell>
        </row>
        <row r="1488">
          <cell r="D1488" t="str">
            <v xml:space="preserve">  H.279.            </v>
          </cell>
          <cell r="E1488" t="str">
            <v>CP1122</v>
          </cell>
          <cell r="F1488" t="str">
            <v>2.4.</v>
          </cell>
          <cell r="G1488" t="str">
            <v xml:space="preserve">Escavação manual material de 1ª categoria prof. 1,50 m até 3,00m  </v>
          </cell>
          <cell r="H1488" t="str">
            <v xml:space="preserve">m³    </v>
          </cell>
          <cell r="I1488">
            <v>8</v>
          </cell>
          <cell r="J1488">
            <v>25.56</v>
          </cell>
          <cell r="K1488">
            <v>26.63</v>
          </cell>
          <cell r="L1488">
            <v>204.48</v>
          </cell>
        </row>
        <row r="1489">
          <cell r="D1489" t="str">
            <v xml:space="preserve">  H.280.            </v>
          </cell>
          <cell r="E1489" t="str">
            <v>CP1085</v>
          </cell>
          <cell r="F1489" t="str">
            <v>2.5.</v>
          </cell>
          <cell r="G1489" t="str">
            <v xml:space="preserve">Carga mecânica de material em caminhão basculante  </v>
          </cell>
          <cell r="H1489" t="str">
            <v xml:space="preserve">m³    </v>
          </cell>
          <cell r="I1489">
            <v>68</v>
          </cell>
          <cell r="J1489">
            <v>1.23</v>
          </cell>
          <cell r="K1489">
            <v>1.74</v>
          </cell>
          <cell r="L1489">
            <v>83.64</v>
          </cell>
        </row>
        <row r="1490">
          <cell r="D1490" t="str">
            <v xml:space="preserve">  H.281.            </v>
          </cell>
          <cell r="E1490" t="str">
            <v>CP1070</v>
          </cell>
          <cell r="F1490" t="str">
            <v>2.6.</v>
          </cell>
          <cell r="G1490" t="str">
            <v xml:space="preserve">Transporte mecânico de material em caminhão basculante  </v>
          </cell>
          <cell r="H1490" t="str">
            <v xml:space="preserve">m³xkm </v>
          </cell>
          <cell r="I1490">
            <v>680</v>
          </cell>
          <cell r="J1490">
            <v>2.38</v>
          </cell>
          <cell r="K1490">
            <v>2.35</v>
          </cell>
          <cell r="L1490">
            <v>1618.4</v>
          </cell>
        </row>
        <row r="1491">
          <cell r="D1491" t="str">
            <v xml:space="preserve">  H.282.            </v>
          </cell>
          <cell r="E1491" t="str">
            <v xml:space="preserve">      </v>
          </cell>
          <cell r="F1491" t="str">
            <v>3.</v>
          </cell>
          <cell r="G1491" t="str">
            <v xml:space="preserve">Estruturas de Concreto (incluindo obras diversas)  </v>
          </cell>
          <cell r="H1491" t="str">
            <v xml:space="preserve">      </v>
          </cell>
          <cell r="I1491">
            <v>0</v>
          </cell>
          <cell r="J1491">
            <v>0</v>
          </cell>
          <cell r="K1491">
            <v>0</v>
          </cell>
          <cell r="L1491">
            <v>0</v>
          </cell>
        </row>
        <row r="1492">
          <cell r="D1492" t="str">
            <v xml:space="preserve">  H.283.            </v>
          </cell>
          <cell r="E1492" t="str">
            <v xml:space="preserve">      </v>
          </cell>
          <cell r="F1492" t="str">
            <v>3.1.</v>
          </cell>
          <cell r="G1492" t="str">
            <v xml:space="preserve">Escavação e concretagem de tubulões mecanizados  </v>
          </cell>
          <cell r="H1492" t="str">
            <v xml:space="preserve">      </v>
          </cell>
          <cell r="I1492">
            <v>0</v>
          </cell>
          <cell r="J1492">
            <v>0</v>
          </cell>
          <cell r="K1492">
            <v>0</v>
          </cell>
          <cell r="L1492">
            <v>0</v>
          </cell>
        </row>
        <row r="1493">
          <cell r="D1493" t="str">
            <v xml:space="preserve">  H.284.            </v>
          </cell>
          <cell r="E1493" t="str">
            <v>CP0088</v>
          </cell>
          <cell r="F1493" t="str">
            <v>3.1.1.</v>
          </cell>
          <cell r="G1493" t="str">
            <v xml:space="preserve">Escavação e concretagem de tubulões mecanizados D = 30 cm  </v>
          </cell>
          <cell r="H1493" t="str">
            <v xml:space="preserve">m     </v>
          </cell>
          <cell r="I1493">
            <v>150</v>
          </cell>
          <cell r="J1493">
            <v>80.77</v>
          </cell>
          <cell r="K1493">
            <v>81.42</v>
          </cell>
          <cell r="L1493">
            <v>12115.5</v>
          </cell>
        </row>
        <row r="1494">
          <cell r="D1494" t="str">
            <v xml:space="preserve">  H.285.            </v>
          </cell>
          <cell r="E1494" t="str">
            <v>CP0061</v>
          </cell>
          <cell r="F1494" t="str">
            <v>3.2.</v>
          </cell>
          <cell r="G1494" t="str">
            <v xml:space="preserve">Formas planas para estruturas em chapa de madeira plastificada - 02 reaproveitamentos, inclusive desforma  </v>
          </cell>
          <cell r="H1494" t="str">
            <v xml:space="preserve">m²    </v>
          </cell>
          <cell r="I1494">
            <v>230</v>
          </cell>
          <cell r="J1494">
            <v>87.97</v>
          </cell>
          <cell r="K1494">
            <v>73.349999999999994</v>
          </cell>
          <cell r="L1494">
            <v>20233.099999999999</v>
          </cell>
        </row>
        <row r="1495">
          <cell r="D1495" t="str">
            <v xml:space="preserve">  H.286.            </v>
          </cell>
          <cell r="E1495" t="str">
            <v>CP1056</v>
          </cell>
          <cell r="F1495" t="str">
            <v>3.3.</v>
          </cell>
          <cell r="G1495" t="str">
            <v xml:space="preserve">Armadura de aço CA-50, com fornecimento do material Corte e dobra  </v>
          </cell>
          <cell r="H1495" t="str">
            <v xml:space="preserve">kg    </v>
          </cell>
          <cell r="I1495">
            <v>2120</v>
          </cell>
          <cell r="J1495">
            <v>6.9</v>
          </cell>
          <cell r="K1495">
            <v>5.78</v>
          </cell>
          <cell r="L1495">
            <v>14628</v>
          </cell>
        </row>
        <row r="1496">
          <cell r="D1496" t="str">
            <v xml:space="preserve">  H.287.            </v>
          </cell>
          <cell r="E1496" t="str">
            <v>CP0098</v>
          </cell>
          <cell r="F1496" t="str">
            <v>3.4.</v>
          </cell>
          <cell r="G1496" t="str">
            <v xml:space="preserve">Fornecimento e lançamento de concreto usinado bombeado fck = 15 MPA  </v>
          </cell>
          <cell r="H1496" t="str">
            <v xml:space="preserve">m³    </v>
          </cell>
          <cell r="I1496">
            <v>23</v>
          </cell>
          <cell r="J1496">
            <v>338.63</v>
          </cell>
          <cell r="K1496">
            <v>282.86</v>
          </cell>
          <cell r="L1496">
            <v>7788.49</v>
          </cell>
        </row>
        <row r="1497">
          <cell r="D1497" t="str">
            <v xml:space="preserve">  H.288.            </v>
          </cell>
          <cell r="E1497" t="str">
            <v>CP0052</v>
          </cell>
          <cell r="F1497" t="str">
            <v>3.5.</v>
          </cell>
          <cell r="G1497" t="str">
            <v xml:space="preserve">Preparo e lançamento de concreto simples mínimo de 150 kg cimento/m³  </v>
          </cell>
          <cell r="H1497" t="str">
            <v xml:space="preserve">m³    </v>
          </cell>
          <cell r="I1497">
            <v>3</v>
          </cell>
          <cell r="J1497">
            <v>284.95</v>
          </cell>
          <cell r="K1497">
            <v>237.1</v>
          </cell>
          <cell r="L1497">
            <v>854.85</v>
          </cell>
        </row>
        <row r="1498">
          <cell r="D1498" t="str">
            <v xml:space="preserve">  H.289.            </v>
          </cell>
          <cell r="E1498" t="str">
            <v xml:space="preserve">      </v>
          </cell>
          <cell r="F1498" t="str">
            <v>4.</v>
          </cell>
          <cell r="G1498" t="str">
            <v xml:space="preserve">Obras Diversas  </v>
          </cell>
          <cell r="H1498" t="str">
            <v xml:space="preserve">      </v>
          </cell>
          <cell r="I1498">
            <v>0</v>
          </cell>
          <cell r="J1498">
            <v>0</v>
          </cell>
          <cell r="K1498">
            <v>0</v>
          </cell>
          <cell r="L1498">
            <v>0</v>
          </cell>
        </row>
        <row r="1499">
          <cell r="D1499" t="str">
            <v xml:space="preserve">  H.290.            </v>
          </cell>
          <cell r="E1499" t="str">
            <v xml:space="preserve">      </v>
          </cell>
          <cell r="F1499" t="str">
            <v>4.1.</v>
          </cell>
          <cell r="G1499" t="str">
            <v xml:space="preserve">Alvenaria em blocos de concreto:  </v>
          </cell>
          <cell r="H1499" t="str">
            <v xml:space="preserve">      </v>
          </cell>
          <cell r="I1499">
            <v>0</v>
          </cell>
          <cell r="J1499">
            <v>0</v>
          </cell>
          <cell r="K1499">
            <v>0</v>
          </cell>
          <cell r="L1499">
            <v>0</v>
          </cell>
        </row>
        <row r="1500">
          <cell r="D1500" t="str">
            <v xml:space="preserve">  H.291.            </v>
          </cell>
          <cell r="E1500" t="str">
            <v>CP0047</v>
          </cell>
          <cell r="F1500" t="str">
            <v>4.1.1.</v>
          </cell>
          <cell r="G1500" t="str">
            <v xml:space="preserve">Alvenaria em blocos de concreto: 40 x 20 x 20 e = 20 cm  </v>
          </cell>
          <cell r="H1500" t="str">
            <v xml:space="preserve">m²    </v>
          </cell>
          <cell r="I1500">
            <v>96</v>
          </cell>
          <cell r="J1500">
            <v>45.68</v>
          </cell>
          <cell r="K1500">
            <v>50.25</v>
          </cell>
          <cell r="L1500">
            <v>4385.28</v>
          </cell>
        </row>
        <row r="1501">
          <cell r="D1501" t="str">
            <v xml:space="preserve">  H.292.            </v>
          </cell>
          <cell r="E1501" t="str">
            <v>CP0049</v>
          </cell>
          <cell r="F1501" t="str">
            <v>4.1.2.</v>
          </cell>
          <cell r="G1501" t="str">
            <v xml:space="preserve">Alvenaria em blocos de concreto: 40 x 20 x 10 e = 10 cm  </v>
          </cell>
          <cell r="H1501" t="str">
            <v xml:space="preserve">m²    </v>
          </cell>
          <cell r="I1501">
            <v>56</v>
          </cell>
          <cell r="J1501">
            <v>33.6</v>
          </cell>
          <cell r="K1501">
            <v>28.21</v>
          </cell>
          <cell r="L1501">
            <v>1881.6</v>
          </cell>
        </row>
        <row r="1502">
          <cell r="D1502" t="str">
            <v xml:space="preserve">  H.293.            </v>
          </cell>
          <cell r="E1502" t="str">
            <v>CP0968</v>
          </cell>
          <cell r="F1502" t="str">
            <v>4.2.</v>
          </cell>
          <cell r="G1502" t="str">
            <v xml:space="preserve">Emboço com argamassa de cimento e saibro, traço 1:6  </v>
          </cell>
          <cell r="H1502" t="str">
            <v xml:space="preserve">m²    </v>
          </cell>
          <cell r="I1502">
            <v>353</v>
          </cell>
          <cell r="J1502">
            <v>11.33</v>
          </cell>
          <cell r="K1502">
            <v>16.16</v>
          </cell>
          <cell r="L1502">
            <v>3999.49</v>
          </cell>
        </row>
        <row r="1503">
          <cell r="D1503" t="str">
            <v xml:space="preserve">  H.294.            </v>
          </cell>
          <cell r="E1503" t="str">
            <v>CP0962</v>
          </cell>
          <cell r="F1503" t="str">
            <v>4.3.</v>
          </cell>
          <cell r="G1503" t="str">
            <v xml:space="preserve">Reboco paulista  </v>
          </cell>
          <cell r="H1503" t="str">
            <v xml:space="preserve">m²    </v>
          </cell>
          <cell r="I1503">
            <v>353</v>
          </cell>
          <cell r="J1503">
            <v>14.51</v>
          </cell>
          <cell r="K1503">
            <v>24.95</v>
          </cell>
          <cell r="L1503">
            <v>5122.03</v>
          </cell>
        </row>
        <row r="1504">
          <cell r="D1504" t="str">
            <v xml:space="preserve">  H.295.            </v>
          </cell>
          <cell r="E1504" t="str">
            <v>CP0142</v>
          </cell>
          <cell r="F1504" t="str">
            <v>4.4.</v>
          </cell>
          <cell r="G1504" t="str">
            <v xml:space="preserve">Emassamento  </v>
          </cell>
          <cell r="H1504" t="str">
            <v xml:space="preserve">m²    </v>
          </cell>
          <cell r="I1504">
            <v>304</v>
          </cell>
          <cell r="J1504">
            <v>9.4700000000000006</v>
          </cell>
          <cell r="K1504">
            <v>7.92</v>
          </cell>
          <cell r="L1504">
            <v>2878.88</v>
          </cell>
        </row>
        <row r="1505">
          <cell r="D1505" t="str">
            <v xml:space="preserve">  H.296.            </v>
          </cell>
          <cell r="E1505" t="str">
            <v>CP0205</v>
          </cell>
          <cell r="F1505" t="str">
            <v>4.5.</v>
          </cell>
          <cell r="G1505" t="str">
            <v xml:space="preserve">Chapisco comum  </v>
          </cell>
          <cell r="H1505" t="str">
            <v xml:space="preserve">m²    </v>
          </cell>
          <cell r="I1505">
            <v>353</v>
          </cell>
          <cell r="J1505">
            <v>3.1</v>
          </cell>
          <cell r="K1505">
            <v>3.72</v>
          </cell>
          <cell r="L1505">
            <v>1094.3</v>
          </cell>
        </row>
        <row r="1506">
          <cell r="D1506" t="str">
            <v xml:space="preserve">  H.297.            </v>
          </cell>
          <cell r="E1506" t="str">
            <v xml:space="preserve">      </v>
          </cell>
          <cell r="F1506" t="str">
            <v>4.6.</v>
          </cell>
          <cell r="G1506" t="str">
            <v xml:space="preserve">Pintura sem massa corrida:  </v>
          </cell>
          <cell r="H1506" t="str">
            <v xml:space="preserve">      </v>
          </cell>
          <cell r="I1506">
            <v>0</v>
          </cell>
          <cell r="J1506">
            <v>0</v>
          </cell>
          <cell r="K1506">
            <v>0</v>
          </cell>
          <cell r="L1506">
            <v>0</v>
          </cell>
        </row>
        <row r="1507">
          <cell r="D1507" t="str">
            <v xml:space="preserve">  H.298.            </v>
          </cell>
          <cell r="E1507" t="str">
            <v>CP0233</v>
          </cell>
          <cell r="F1507" t="str">
            <v>4.6.1.</v>
          </cell>
          <cell r="G1507" t="str">
            <v xml:space="preserve">Esmalte sintético acetinado cor branco gelo da CORAL ou similar  </v>
          </cell>
          <cell r="H1507" t="str">
            <v xml:space="preserve">m²    </v>
          </cell>
          <cell r="I1507">
            <v>49</v>
          </cell>
          <cell r="J1507">
            <v>8.7899999999999991</v>
          </cell>
          <cell r="K1507">
            <v>12.55</v>
          </cell>
          <cell r="L1507">
            <v>430.71</v>
          </cell>
        </row>
        <row r="1508">
          <cell r="D1508" t="str">
            <v xml:space="preserve">  H.299.            </v>
          </cell>
          <cell r="E1508" t="str">
            <v>CP0955</v>
          </cell>
          <cell r="F1508" t="str">
            <v>4.6.2.</v>
          </cell>
          <cell r="G1508" t="str">
            <v xml:space="preserve">Pintura látex acrílico, sem massa corrida, em duas demãos  </v>
          </cell>
          <cell r="H1508" t="str">
            <v xml:space="preserve">m²    </v>
          </cell>
          <cell r="I1508">
            <v>162</v>
          </cell>
          <cell r="J1508">
            <v>13.26</v>
          </cell>
          <cell r="K1508">
            <v>18.940000000000001</v>
          </cell>
          <cell r="L1508">
            <v>2148.12</v>
          </cell>
        </row>
        <row r="1509">
          <cell r="D1509" t="str">
            <v xml:space="preserve">  H.300.            </v>
          </cell>
          <cell r="E1509" t="str">
            <v>CP0227</v>
          </cell>
          <cell r="F1509" t="str">
            <v>4.6.3.</v>
          </cell>
          <cell r="G1509" t="str">
            <v xml:space="preserve">Revestimento Acríl-color LT/ liso da FACE COLOR ou similar refer. de tonalidade 1226P da CORAL ou similar  </v>
          </cell>
          <cell r="H1509" t="str">
            <v xml:space="preserve">m²    </v>
          </cell>
          <cell r="I1509">
            <v>110</v>
          </cell>
          <cell r="J1509">
            <v>9.35</v>
          </cell>
          <cell r="K1509">
            <v>15.34</v>
          </cell>
          <cell r="L1509">
            <v>1028.5</v>
          </cell>
        </row>
        <row r="1510">
          <cell r="D1510" t="str">
            <v xml:space="preserve">  H.301.            </v>
          </cell>
          <cell r="E1510" t="str">
            <v>CP0221</v>
          </cell>
          <cell r="F1510" t="str">
            <v>4.6.4.</v>
          </cell>
          <cell r="G1510" t="str">
            <v xml:space="preserve">Revestimento Acril-color  LT/ liso da FACE-COLOR, ou similar de refer. de tonalidade 1232M da CORAL ou similar  </v>
          </cell>
          <cell r="H1510" t="str">
            <v xml:space="preserve">m²    </v>
          </cell>
          <cell r="I1510">
            <v>43</v>
          </cell>
          <cell r="J1510">
            <v>10.74</v>
          </cell>
          <cell r="K1510">
            <v>15.34</v>
          </cell>
          <cell r="L1510">
            <v>461.82</v>
          </cell>
        </row>
        <row r="1511">
          <cell r="D1511" t="str">
            <v xml:space="preserve">  H.302.            </v>
          </cell>
          <cell r="E1511" t="str">
            <v>CP0128</v>
          </cell>
          <cell r="F1511" t="str">
            <v>4.7.</v>
          </cell>
          <cell r="G1511" t="str">
            <v xml:space="preserve">Cimentado rústico e = 3 cm com junta plástica  </v>
          </cell>
          <cell r="H1511" t="str">
            <v xml:space="preserve">m²    </v>
          </cell>
          <cell r="I1511">
            <v>48</v>
          </cell>
          <cell r="J1511">
            <v>16.27</v>
          </cell>
          <cell r="K1511">
            <v>13.82</v>
          </cell>
          <cell r="L1511">
            <v>780.96</v>
          </cell>
        </row>
        <row r="1512">
          <cell r="D1512" t="str">
            <v xml:space="preserve">  H.303.            </v>
          </cell>
          <cell r="E1512" t="str">
            <v xml:space="preserve">      </v>
          </cell>
          <cell r="F1512" t="str">
            <v>4.8.</v>
          </cell>
          <cell r="G1512" t="str">
            <v xml:space="preserve">Esquadrias  </v>
          </cell>
          <cell r="H1512" t="str">
            <v xml:space="preserve">      </v>
          </cell>
          <cell r="I1512">
            <v>0</v>
          </cell>
          <cell r="J1512">
            <v>0</v>
          </cell>
          <cell r="K1512">
            <v>0</v>
          </cell>
          <cell r="L1512">
            <v>0</v>
          </cell>
        </row>
        <row r="1513">
          <cell r="D1513" t="str">
            <v xml:space="preserve">  H.304.            </v>
          </cell>
          <cell r="E1513" t="str">
            <v>CP0263</v>
          </cell>
          <cell r="F1513" t="str">
            <v>4.8.1.</v>
          </cell>
          <cell r="G1513" t="str">
            <v xml:space="preserve">Esquadrias em alumínio anodizado preto, maxim-ar, fixo, inclusive acessórios, conforme projeto  </v>
          </cell>
          <cell r="H1513" t="str">
            <v xml:space="preserve">m²    </v>
          </cell>
          <cell r="I1513">
            <v>12</v>
          </cell>
          <cell r="J1513">
            <v>445.56</v>
          </cell>
          <cell r="K1513">
            <v>556.6</v>
          </cell>
          <cell r="L1513">
            <v>5346.72</v>
          </cell>
        </row>
        <row r="1514">
          <cell r="D1514" t="str">
            <v xml:space="preserve">  H.305.            </v>
          </cell>
          <cell r="E1514" t="str">
            <v>CP0328</v>
          </cell>
          <cell r="F1514" t="str">
            <v>4.8.2.</v>
          </cell>
          <cell r="G1514" t="str">
            <v xml:space="preserve">Esquadrias em alumínio anodizado preto, maxim-ar, inclusive acessórios, conforme projeto  </v>
          </cell>
          <cell r="H1514" t="str">
            <v xml:space="preserve">m²    </v>
          </cell>
          <cell r="I1514">
            <v>4</v>
          </cell>
          <cell r="J1514">
            <v>509.31</v>
          </cell>
          <cell r="K1514">
            <v>425.6</v>
          </cell>
          <cell r="L1514">
            <v>2037.24</v>
          </cell>
        </row>
        <row r="1515">
          <cell r="D1515" t="str">
            <v xml:space="preserve">  H.306.            </v>
          </cell>
          <cell r="E1515" t="str">
            <v>CP0262</v>
          </cell>
          <cell r="F1515" t="str">
            <v>4.9.</v>
          </cell>
          <cell r="G1515" t="str">
            <v xml:space="preserve">Portão em veneziana em alumínio anodizado preto, com perfil duplo C, com acessórios, conforme projeto  </v>
          </cell>
          <cell r="H1515" t="str">
            <v xml:space="preserve">m²    </v>
          </cell>
          <cell r="I1515">
            <v>16</v>
          </cell>
          <cell r="J1515">
            <v>448.66</v>
          </cell>
          <cell r="K1515">
            <v>375.82</v>
          </cell>
          <cell r="L1515">
            <v>7178.56</v>
          </cell>
        </row>
        <row r="1516">
          <cell r="D1516" t="str">
            <v xml:space="preserve">  H.307.            </v>
          </cell>
          <cell r="E1516" t="str">
            <v xml:space="preserve">      </v>
          </cell>
          <cell r="F1516" t="str">
            <v>4.10.</v>
          </cell>
          <cell r="G1516" t="str">
            <v xml:space="preserve">Vidros  </v>
          </cell>
          <cell r="H1516" t="str">
            <v xml:space="preserve">      </v>
          </cell>
          <cell r="I1516">
            <v>0</v>
          </cell>
          <cell r="J1516">
            <v>0</v>
          </cell>
          <cell r="K1516">
            <v>0</v>
          </cell>
          <cell r="L1516">
            <v>0</v>
          </cell>
        </row>
        <row r="1517">
          <cell r="D1517" t="str">
            <v xml:space="preserve">  H.308.            </v>
          </cell>
          <cell r="E1517" t="str">
            <v>CP0981</v>
          </cell>
          <cell r="F1517" t="str">
            <v>4.10.1.</v>
          </cell>
          <cell r="G1517" t="str">
            <v xml:space="preserve">Vidros Transparente liso, espessura = 3 mm  </v>
          </cell>
          <cell r="H1517" t="str">
            <v xml:space="preserve">m²    </v>
          </cell>
          <cell r="I1517">
            <v>16</v>
          </cell>
          <cell r="J1517">
            <v>36.799999999999997</v>
          </cell>
          <cell r="K1517">
            <v>72.89</v>
          </cell>
          <cell r="L1517">
            <v>588.79999999999995</v>
          </cell>
        </row>
        <row r="1518">
          <cell r="D1518" t="str">
            <v xml:space="preserve">  H.309.            </v>
          </cell>
          <cell r="E1518" t="str">
            <v xml:space="preserve">      </v>
          </cell>
          <cell r="F1518" t="str">
            <v>4.11.</v>
          </cell>
          <cell r="G1518" t="str">
            <v xml:space="preserve">Cobertura  </v>
          </cell>
          <cell r="H1518" t="str">
            <v xml:space="preserve">      </v>
          </cell>
          <cell r="I1518">
            <v>0</v>
          </cell>
          <cell r="J1518">
            <v>0</v>
          </cell>
          <cell r="K1518">
            <v>0</v>
          </cell>
          <cell r="L1518">
            <v>0</v>
          </cell>
        </row>
        <row r="1519">
          <cell r="D1519" t="str">
            <v xml:space="preserve">  H.310.            </v>
          </cell>
          <cell r="E1519" t="str">
            <v>CP0985</v>
          </cell>
          <cell r="F1519" t="str">
            <v>4.11.1.</v>
          </cell>
          <cell r="G1519" t="str">
            <v xml:space="preserve">Estrutura e cobertura em telha de fibrocimento ondulada 8 mm - pontaletada  </v>
          </cell>
          <cell r="H1519" t="str">
            <v xml:space="preserve">m²    </v>
          </cell>
          <cell r="I1519">
            <v>49</v>
          </cell>
          <cell r="J1519">
            <v>67.599999999999994</v>
          </cell>
          <cell r="K1519">
            <v>65.81</v>
          </cell>
          <cell r="L1519">
            <v>3312.4</v>
          </cell>
        </row>
        <row r="1520">
          <cell r="D1520" t="str">
            <v xml:space="preserve">  H.311.            </v>
          </cell>
          <cell r="E1520" t="str">
            <v>CP0133</v>
          </cell>
          <cell r="F1520" t="str">
            <v>4.11.2.</v>
          </cell>
          <cell r="G1520" t="str">
            <v xml:space="preserve">Calha em chapa galvanizada MSG 16, e acessórios de fixação  </v>
          </cell>
          <cell r="H1520" t="str">
            <v xml:space="preserve">m     </v>
          </cell>
          <cell r="I1520">
            <v>22</v>
          </cell>
          <cell r="J1520">
            <v>106.29</v>
          </cell>
          <cell r="K1520">
            <v>233.63</v>
          </cell>
          <cell r="L1520">
            <v>2338.38</v>
          </cell>
        </row>
        <row r="1521">
          <cell r="D1521" t="str">
            <v xml:space="preserve">  H.312.            </v>
          </cell>
          <cell r="E1521" t="str">
            <v>CP0276</v>
          </cell>
          <cell r="F1521" t="str">
            <v>4.11.3.</v>
          </cell>
          <cell r="G1521" t="str">
            <v xml:space="preserve">Rufo em chapa galvanizada, inclusive acessórios de fixação e pintura  </v>
          </cell>
          <cell r="H1521" t="str">
            <v xml:space="preserve">m     </v>
          </cell>
          <cell r="I1521">
            <v>9</v>
          </cell>
          <cell r="J1521">
            <v>36.020000000000003</v>
          </cell>
          <cell r="K1521">
            <v>51.45</v>
          </cell>
          <cell r="L1521">
            <v>324.18</v>
          </cell>
        </row>
        <row r="1522">
          <cell r="D1522" t="str">
            <v xml:space="preserve">  H.313.            </v>
          </cell>
          <cell r="E1522" t="str">
            <v xml:space="preserve">      </v>
          </cell>
          <cell r="F1522" t="str">
            <v>4.12.</v>
          </cell>
          <cell r="G1522" t="str">
            <v xml:space="preserve">Diversos  </v>
          </cell>
          <cell r="H1522" t="str">
            <v xml:space="preserve">      </v>
          </cell>
          <cell r="I1522">
            <v>0</v>
          </cell>
          <cell r="J1522">
            <v>0</v>
          </cell>
          <cell r="K1522">
            <v>0</v>
          </cell>
          <cell r="L1522">
            <v>0</v>
          </cell>
        </row>
        <row r="1523">
          <cell r="D1523" t="str">
            <v xml:space="preserve">  H.314.            </v>
          </cell>
          <cell r="E1523" t="str">
            <v>CP0261</v>
          </cell>
          <cell r="F1523" t="str">
            <v>4.12.1.</v>
          </cell>
          <cell r="G1523" t="str">
            <v xml:space="preserve">Grade removível em tubo de aço carbono ø 1 1/2 e barra chapa 1/2 x 1/8, inclusive acessórios, conforme projeto  </v>
          </cell>
          <cell r="H1523" t="str">
            <v xml:space="preserve">m²    </v>
          </cell>
          <cell r="I1523">
            <v>18</v>
          </cell>
          <cell r="J1523">
            <v>135.74</v>
          </cell>
          <cell r="K1523">
            <v>193.91</v>
          </cell>
          <cell r="L1523">
            <v>2443.3200000000002</v>
          </cell>
        </row>
        <row r="1524">
          <cell r="D1524" t="str">
            <v xml:space="preserve">  H.315.            </v>
          </cell>
          <cell r="E1524" t="str">
            <v>CP0305</v>
          </cell>
          <cell r="F1524" t="str">
            <v>4.12.2.</v>
          </cell>
          <cell r="G1524" t="str">
            <v xml:space="preserve">Friso em alumínio anodizado natural  </v>
          </cell>
          <cell r="H1524" t="str">
            <v xml:space="preserve">m     </v>
          </cell>
          <cell r="I1524">
            <v>63</v>
          </cell>
          <cell r="J1524">
            <v>24.77</v>
          </cell>
          <cell r="K1524">
            <v>35.380000000000003</v>
          </cell>
          <cell r="L1524">
            <v>1560.51</v>
          </cell>
        </row>
        <row r="1525">
          <cell r="D1525" t="str">
            <v xml:space="preserve">  H.316.            </v>
          </cell>
          <cell r="E1525" t="str">
            <v xml:space="preserve">      </v>
          </cell>
          <cell r="F1525" t="str">
            <v>4.13.</v>
          </cell>
          <cell r="G1525" t="str">
            <v xml:space="preserve">Limpeza da obra:  </v>
          </cell>
          <cell r="H1525" t="str">
            <v xml:space="preserve">      </v>
          </cell>
          <cell r="I1525">
            <v>0</v>
          </cell>
          <cell r="J1525">
            <v>0</v>
          </cell>
          <cell r="K1525">
            <v>0</v>
          </cell>
          <cell r="L1525">
            <v>0</v>
          </cell>
        </row>
        <row r="1526">
          <cell r="D1526" t="str">
            <v xml:space="preserve">  H.317.            </v>
          </cell>
          <cell r="E1526" t="str">
            <v xml:space="preserve">      </v>
          </cell>
          <cell r="F1526" t="str">
            <v>4.13.1.</v>
          </cell>
          <cell r="G1526" t="str">
            <v xml:space="preserve">Remoção de entulho, inclusive bota-fora em local apropriado:  </v>
          </cell>
          <cell r="H1526" t="str">
            <v xml:space="preserve">      </v>
          </cell>
          <cell r="I1526">
            <v>0</v>
          </cell>
          <cell r="J1526">
            <v>0</v>
          </cell>
          <cell r="K1526">
            <v>0</v>
          </cell>
          <cell r="L1526">
            <v>0</v>
          </cell>
        </row>
        <row r="1527">
          <cell r="D1527" t="str">
            <v xml:space="preserve">  H.318.            </v>
          </cell>
          <cell r="E1527" t="str">
            <v>CP1085</v>
          </cell>
          <cell r="F1527" t="str">
            <v>4.13.2.</v>
          </cell>
          <cell r="G1527" t="str">
            <v xml:space="preserve">Carga mecânica de material, em geral exceto rocha em caminhão basculante  </v>
          </cell>
          <cell r="H1527" t="str">
            <v xml:space="preserve">m3    </v>
          </cell>
          <cell r="I1527">
            <v>2</v>
          </cell>
          <cell r="J1527">
            <v>1.23</v>
          </cell>
          <cell r="K1527">
            <v>1.74</v>
          </cell>
          <cell r="L1527">
            <v>2.46</v>
          </cell>
        </row>
        <row r="1528">
          <cell r="D1528" t="str">
            <v xml:space="preserve">  H.319.            </v>
          </cell>
          <cell r="E1528" t="str">
            <v>CP1070</v>
          </cell>
          <cell r="F1528" t="str">
            <v>4.13.3.</v>
          </cell>
          <cell r="G1528" t="str">
            <v xml:space="preserve">Transporte mecânico de material a granel em caminhão basculante  </v>
          </cell>
          <cell r="H1528" t="str">
            <v xml:space="preserve">m3xkm </v>
          </cell>
          <cell r="I1528">
            <v>18</v>
          </cell>
          <cell r="J1528">
            <v>2.38</v>
          </cell>
          <cell r="K1528">
            <v>4.9400000000000004</v>
          </cell>
          <cell r="L1528">
            <v>42.84</v>
          </cell>
        </row>
        <row r="1529">
          <cell r="D1529" t="str">
            <v xml:space="preserve">  H.320.            </v>
          </cell>
          <cell r="E1529" t="str">
            <v>CP0633</v>
          </cell>
          <cell r="F1529" t="str">
            <v>4.14.</v>
          </cell>
          <cell r="G1529" t="str">
            <v xml:space="preserve">Limpeza de vidros  </v>
          </cell>
          <cell r="H1529" t="str">
            <v xml:space="preserve">m²    </v>
          </cell>
          <cell r="I1529">
            <v>16</v>
          </cell>
          <cell r="J1529">
            <v>3.47</v>
          </cell>
          <cell r="K1529">
            <v>5.47</v>
          </cell>
          <cell r="L1529">
            <v>55.52</v>
          </cell>
        </row>
        <row r="1530">
          <cell r="D1530" t="str">
            <v xml:space="preserve">  I.  1.            </v>
          </cell>
          <cell r="E1530" t="str">
            <v xml:space="preserve">      </v>
          </cell>
          <cell r="F1530" t="str">
            <v>0.IX.</v>
          </cell>
          <cell r="G1530" t="str">
            <v xml:space="preserve">LABORATÓRIOS  </v>
          </cell>
          <cell r="H1530" t="str">
            <v xml:space="preserve">      </v>
          </cell>
          <cell r="I1530">
            <v>0</v>
          </cell>
          <cell r="J1530">
            <v>0</v>
          </cell>
          <cell r="K1530">
            <v>0</v>
          </cell>
          <cell r="L1530">
            <v>0</v>
          </cell>
        </row>
        <row r="1531">
          <cell r="D1531" t="str">
            <v xml:space="preserve">  I.  2.            </v>
          </cell>
          <cell r="E1531" t="str">
            <v xml:space="preserve">      </v>
          </cell>
          <cell r="F1531" t="str">
            <v>1.</v>
          </cell>
          <cell r="G1531" t="str">
            <v xml:space="preserve">Fornecimento e Montagem de Equipamentos para Laboratório  </v>
          </cell>
          <cell r="H1531" t="str">
            <v xml:space="preserve">      </v>
          </cell>
          <cell r="I1531">
            <v>0</v>
          </cell>
          <cell r="J1531">
            <v>0</v>
          </cell>
          <cell r="K1531">
            <v>0</v>
          </cell>
          <cell r="L1531">
            <v>0</v>
          </cell>
        </row>
        <row r="1532">
          <cell r="D1532" t="str">
            <v xml:space="preserve">  I.  3.            </v>
          </cell>
          <cell r="E1532" t="str">
            <v xml:space="preserve">      </v>
          </cell>
          <cell r="F1532" t="str">
            <v>1.1.</v>
          </cell>
          <cell r="G1532" t="str">
            <v xml:space="preserve">Laboratório de Controle Operacional  </v>
          </cell>
          <cell r="H1532" t="str">
            <v xml:space="preserve">      </v>
          </cell>
          <cell r="I1532">
            <v>0</v>
          </cell>
          <cell r="J1532">
            <v>0</v>
          </cell>
          <cell r="K1532">
            <v>0</v>
          </cell>
          <cell r="L1532">
            <v>0</v>
          </cell>
        </row>
        <row r="1533">
          <cell r="D1533" t="str">
            <v xml:space="preserve">  I.  4.            </v>
          </cell>
          <cell r="E1533" t="str">
            <v>CP1411</v>
          </cell>
          <cell r="F1533" t="str">
            <v>1.1.1.</v>
          </cell>
          <cell r="G1533" t="str">
            <v xml:space="preserve">Colorimetro microprocessado digital com leitura direta em fluoreto marca HACH faixa de 0 a 2 mg/l  </v>
          </cell>
          <cell r="H1533" t="str">
            <v xml:space="preserve">un    </v>
          </cell>
          <cell r="I1533">
            <v>2</v>
          </cell>
          <cell r="J1533">
            <v>4290.04</v>
          </cell>
          <cell r="K1533">
            <v>4234.92</v>
          </cell>
          <cell r="L1533">
            <v>8580.08</v>
          </cell>
        </row>
        <row r="1534">
          <cell r="D1534" t="str">
            <v xml:space="preserve">  I.  5.            </v>
          </cell>
          <cell r="E1534" t="str">
            <v>CP0623</v>
          </cell>
          <cell r="F1534" t="str">
            <v>1.1.2.</v>
          </cell>
          <cell r="G1534" t="str">
            <v xml:space="preserve">Agitador para floculação JAR TEST, marca NOVA ÉTICA, 218LDB, 10 a 600 rpm e tacômetro digital de 04 dígitos  </v>
          </cell>
          <cell r="H1534" t="str">
            <v xml:space="preserve">un    </v>
          </cell>
          <cell r="I1534">
            <v>1</v>
          </cell>
          <cell r="J1534">
            <v>11003.61</v>
          </cell>
          <cell r="K1534">
            <v>13226.23</v>
          </cell>
          <cell r="L1534">
            <v>11003.61</v>
          </cell>
        </row>
        <row r="1535">
          <cell r="D1535" t="str">
            <v xml:space="preserve">  I.  6.            </v>
          </cell>
          <cell r="E1535" t="str">
            <v>CP1311</v>
          </cell>
          <cell r="F1535" t="str">
            <v>1.1.3.</v>
          </cell>
          <cell r="G1535" t="str">
            <v xml:space="preserve">Flo Test, marca Nova Ética com recipientes com 2 litros de capacidade com placa difusora, câmara de saturação com cap. de 2 litros, válvula de agulha, manômetro 0 a 10 kgf/cm² e ajuste de rotação com variação inferior a 5% em toda escala  </v>
          </cell>
          <cell r="H1535" t="str">
            <v xml:space="preserve">un    </v>
          </cell>
          <cell r="I1535">
            <v>1</v>
          </cell>
          <cell r="J1535">
            <v>16672.25</v>
          </cell>
          <cell r="K1535">
            <v>20842.32</v>
          </cell>
          <cell r="L1535">
            <v>16672.25</v>
          </cell>
        </row>
        <row r="1536">
          <cell r="D1536" t="str">
            <v xml:space="preserve">  I.  7.            </v>
          </cell>
          <cell r="E1536" t="str">
            <v>CP1408</v>
          </cell>
          <cell r="F1536" t="str">
            <v>1.1.4.</v>
          </cell>
          <cell r="G1536" t="str">
            <v xml:space="preserve">Destilador, Tipo Pilsen marca Marconi modelo MA-270  </v>
          </cell>
          <cell r="H1536" t="str">
            <v xml:space="preserve">un    </v>
          </cell>
          <cell r="I1536">
            <v>1</v>
          </cell>
          <cell r="J1536">
            <v>3095.12</v>
          </cell>
          <cell r="K1536">
            <v>3386.59</v>
          </cell>
          <cell r="L1536">
            <v>3095.12</v>
          </cell>
        </row>
        <row r="1537">
          <cell r="D1537" t="str">
            <v xml:space="preserve">  I.  8.            </v>
          </cell>
          <cell r="E1537" t="str">
            <v>CP1435</v>
          </cell>
          <cell r="F1537" t="str">
            <v>1.1.5.</v>
          </cell>
          <cell r="G1537" t="str">
            <v xml:space="preserve">Medidor de pH de bancada, marca ORION, modelo 9165BN, ou similar  </v>
          </cell>
          <cell r="H1537" t="str">
            <v xml:space="preserve">un    </v>
          </cell>
          <cell r="I1537">
            <v>5</v>
          </cell>
          <cell r="J1537">
            <v>5837.75</v>
          </cell>
          <cell r="K1537">
            <v>7202.42</v>
          </cell>
          <cell r="L1537">
            <v>29188.75</v>
          </cell>
        </row>
        <row r="1538">
          <cell r="D1538" t="str">
            <v xml:space="preserve">  I.  9.            </v>
          </cell>
          <cell r="E1538" t="str">
            <v>CP1355</v>
          </cell>
          <cell r="F1538" t="str">
            <v>1.1.6.</v>
          </cell>
          <cell r="G1538" t="str">
            <v xml:space="preserve">Turbidímetro, marca HACH, modelo 2100 P  </v>
          </cell>
          <cell r="H1538" t="str">
            <v xml:space="preserve">un    </v>
          </cell>
          <cell r="I1538">
            <v>1</v>
          </cell>
          <cell r="J1538">
            <v>8330.0499999999993</v>
          </cell>
          <cell r="K1538">
            <v>13090.08</v>
          </cell>
          <cell r="L1538">
            <v>8330.0499999999993</v>
          </cell>
        </row>
        <row r="1539">
          <cell r="D1539" t="str">
            <v xml:space="preserve">  I. 10.            </v>
          </cell>
          <cell r="E1539" t="str">
            <v>CP1629</v>
          </cell>
          <cell r="F1539" t="str">
            <v>1.1.7.</v>
          </cell>
          <cell r="G1539" t="str">
            <v xml:space="preserve">Estabilizador de voltagem, marca MICRONAL, modelo B-322, dimensões 0,15 x 0,11 x 0,12, ou similar  </v>
          </cell>
          <cell r="H1539" t="str">
            <v xml:space="preserve">un    </v>
          </cell>
          <cell r="I1539">
            <v>2</v>
          </cell>
          <cell r="J1539">
            <v>156.58000000000001</v>
          </cell>
          <cell r="K1539">
            <v>644.55999999999995</v>
          </cell>
          <cell r="L1539">
            <v>313.16000000000003</v>
          </cell>
        </row>
        <row r="1540">
          <cell r="D1540" t="str">
            <v xml:space="preserve">  I. 11.            </v>
          </cell>
          <cell r="E1540" t="str">
            <v>CP1430</v>
          </cell>
          <cell r="F1540" t="str">
            <v>1.1.8.</v>
          </cell>
          <cell r="G1540" t="str">
            <v xml:space="preserve">Balança analítica, microprocessada, digital, marca SARTORIUS BAL BL210S  </v>
          </cell>
          <cell r="H1540" t="str">
            <v xml:space="preserve">un    </v>
          </cell>
          <cell r="I1540">
            <v>1</v>
          </cell>
          <cell r="J1540">
            <v>4696.28</v>
          </cell>
          <cell r="K1540">
            <v>6708.97</v>
          </cell>
          <cell r="L1540">
            <v>4696.28</v>
          </cell>
        </row>
        <row r="1541">
          <cell r="D1541" t="str">
            <v xml:space="preserve">  I. 12.            </v>
          </cell>
          <cell r="E1541" t="str">
            <v>CP1333</v>
          </cell>
          <cell r="F1541" t="str">
            <v>1.1.9.</v>
          </cell>
          <cell r="G1541" t="str">
            <v xml:space="preserve">Capela de Exaustão de gases, marca PERMUTION Ref. CE 0702 capacidade de exaustão 60 m³/minuto, exaustor centrífugo 1/3CV  </v>
          </cell>
          <cell r="H1541" t="str">
            <v xml:space="preserve">un    </v>
          </cell>
          <cell r="I1541">
            <v>1</v>
          </cell>
          <cell r="J1541">
            <v>8402.83</v>
          </cell>
          <cell r="K1541">
            <v>7020.89</v>
          </cell>
          <cell r="L1541">
            <v>8402.83</v>
          </cell>
        </row>
        <row r="1542">
          <cell r="D1542" t="str">
            <v xml:space="preserve">  I. 13.            </v>
          </cell>
          <cell r="E1542" t="str">
            <v>CP1411</v>
          </cell>
          <cell r="F1542" t="str">
            <v>1.1.10.</v>
          </cell>
          <cell r="G1542" t="str">
            <v xml:space="preserve">Colorimetro microprocessado digital com leitura direta em cloro livre (0 a 2 mg/l) e total (0 a 4,5 mg/l) marca Hach  </v>
          </cell>
          <cell r="H1542" t="str">
            <v xml:space="preserve">un    </v>
          </cell>
          <cell r="I1542">
            <v>3</v>
          </cell>
          <cell r="J1542">
            <v>4290.04</v>
          </cell>
          <cell r="K1542">
            <v>4195.59</v>
          </cell>
          <cell r="L1542">
            <v>12870.12</v>
          </cell>
        </row>
        <row r="1543">
          <cell r="D1543" t="str">
            <v xml:space="preserve">  I. 14.            </v>
          </cell>
          <cell r="E1543" t="str">
            <v>CP1609</v>
          </cell>
          <cell r="F1543" t="str">
            <v>1.1.11.</v>
          </cell>
          <cell r="G1543" t="str">
            <v xml:space="preserve">Barril de água destilada, dimensões h = 0,51 m, capacidade 20 litros de PVC  </v>
          </cell>
          <cell r="H1543" t="str">
            <v xml:space="preserve">un    </v>
          </cell>
          <cell r="I1543">
            <v>2</v>
          </cell>
          <cell r="J1543">
            <v>212.76</v>
          </cell>
          <cell r="K1543">
            <v>272.41000000000003</v>
          </cell>
          <cell r="L1543">
            <v>425.52</v>
          </cell>
        </row>
        <row r="1544">
          <cell r="D1544" t="str">
            <v xml:space="preserve">  I. 15.            </v>
          </cell>
          <cell r="E1544" t="str">
            <v>CP1547</v>
          </cell>
          <cell r="F1544" t="str">
            <v>1.1.12.</v>
          </cell>
          <cell r="G1544" t="str">
            <v xml:space="preserve">Barril de água destilada, dimensões h = 0,51 m, capacidade 20 litros de vidro  </v>
          </cell>
          <cell r="H1544" t="str">
            <v xml:space="preserve">un    </v>
          </cell>
          <cell r="I1544">
            <v>1</v>
          </cell>
          <cell r="J1544">
            <v>333.62</v>
          </cell>
          <cell r="K1544">
            <v>422.83</v>
          </cell>
          <cell r="L1544">
            <v>333.62</v>
          </cell>
        </row>
        <row r="1545">
          <cell r="D1545" t="str">
            <v xml:space="preserve">  I. 16.            </v>
          </cell>
          <cell r="E1545" t="str">
            <v xml:space="preserve">      </v>
          </cell>
          <cell r="F1545" t="str">
            <v>1.2.</v>
          </cell>
          <cell r="G1545" t="str">
            <v xml:space="preserve">Laboratório de Físico-Química  </v>
          </cell>
          <cell r="H1545" t="str">
            <v xml:space="preserve">      </v>
          </cell>
          <cell r="I1545">
            <v>0</v>
          </cell>
          <cell r="J1545">
            <v>0</v>
          </cell>
          <cell r="K1545">
            <v>0</v>
          </cell>
          <cell r="L1545">
            <v>0</v>
          </cell>
        </row>
        <row r="1546">
          <cell r="D1546" t="str">
            <v xml:space="preserve">  I. 17.            </v>
          </cell>
          <cell r="E1546" t="str">
            <v>CP1355</v>
          </cell>
          <cell r="F1546" t="str">
            <v>1.2.1.</v>
          </cell>
          <cell r="G1546" t="str">
            <v xml:space="preserve">Turbidímetro, marca Hach, modelo 2100P ou similar  </v>
          </cell>
          <cell r="H1546" t="str">
            <v xml:space="preserve">un    </v>
          </cell>
          <cell r="I1546">
            <v>3</v>
          </cell>
          <cell r="J1546">
            <v>8330.0499999999993</v>
          </cell>
          <cell r="K1546">
            <v>11900.07</v>
          </cell>
          <cell r="L1546">
            <v>24990.15</v>
          </cell>
        </row>
        <row r="1547">
          <cell r="D1547" t="str">
            <v xml:space="preserve">  I. 18.            </v>
          </cell>
          <cell r="E1547" t="str">
            <v>CP1430</v>
          </cell>
          <cell r="F1547" t="str">
            <v>1.2.2.</v>
          </cell>
          <cell r="G1547" t="str">
            <v xml:space="preserve">Balança analítica, microprocessada, digital, marca SARTORIUS BAL BL210S  </v>
          </cell>
          <cell r="H1547" t="str">
            <v xml:space="preserve">un    </v>
          </cell>
          <cell r="I1547">
            <v>1</v>
          </cell>
          <cell r="J1547">
            <v>4696.28</v>
          </cell>
          <cell r="K1547">
            <v>7603.49</v>
          </cell>
          <cell r="L1547">
            <v>4696.28</v>
          </cell>
        </row>
        <row r="1548">
          <cell r="D1548" t="str">
            <v xml:space="preserve">  I. 19.            </v>
          </cell>
          <cell r="E1548" t="str">
            <v>CP1269</v>
          </cell>
          <cell r="F1548" t="str">
            <v>1.2.3.</v>
          </cell>
          <cell r="G1548" t="str">
            <v xml:space="preserve">Espectrofotômetro, marca Hach, modelo DR 2500 ou similar  </v>
          </cell>
          <cell r="H1548" t="str">
            <v xml:space="preserve">un    </v>
          </cell>
          <cell r="I1548">
            <v>1</v>
          </cell>
          <cell r="J1548">
            <v>26038.240000000002</v>
          </cell>
          <cell r="K1548">
            <v>32603.22</v>
          </cell>
          <cell r="L1548">
            <v>26038.240000000002</v>
          </cell>
        </row>
        <row r="1549">
          <cell r="D1549" t="str">
            <v xml:space="preserve">  I. 20.            </v>
          </cell>
          <cell r="E1549" t="str">
            <v>CP1524</v>
          </cell>
          <cell r="F1549" t="str">
            <v>1.2.4.</v>
          </cell>
          <cell r="G1549" t="str">
            <v xml:space="preserve">Dispensador 2 - 10 mls marca HIRSCHMANN, modelo 9342000, ou similar  </v>
          </cell>
          <cell r="H1549" t="str">
            <v xml:space="preserve">un    </v>
          </cell>
          <cell r="I1549">
            <v>6</v>
          </cell>
          <cell r="J1549">
            <v>1606.14</v>
          </cell>
          <cell r="K1549">
            <v>2161.15</v>
          </cell>
          <cell r="L1549">
            <v>9636.84</v>
          </cell>
        </row>
        <row r="1550">
          <cell r="D1550" t="str">
            <v xml:space="preserve">  I. 21.            </v>
          </cell>
          <cell r="E1550" t="str">
            <v>CP1493</v>
          </cell>
          <cell r="F1550" t="str">
            <v>1.2.5.</v>
          </cell>
          <cell r="G1550" t="str">
            <v xml:space="preserve">Dispensador 5 - 30 mls marca HIRSCHMANN, modelo 9352000, ou similar  </v>
          </cell>
          <cell r="H1550" t="str">
            <v xml:space="preserve">un    </v>
          </cell>
          <cell r="I1550">
            <v>6</v>
          </cell>
          <cell r="J1550">
            <v>2206.0100000000002</v>
          </cell>
          <cell r="K1550">
            <v>2925.98</v>
          </cell>
          <cell r="L1550">
            <v>13236.06</v>
          </cell>
        </row>
        <row r="1551">
          <cell r="D1551" t="str">
            <v xml:space="preserve">  I. 22.            </v>
          </cell>
          <cell r="E1551" t="str">
            <v>CP1401</v>
          </cell>
          <cell r="F1551" t="str">
            <v>1.2.6.</v>
          </cell>
          <cell r="G1551" t="str">
            <v xml:space="preserve">Bureta digital, marca HIRSCHMAN, modelo 9390050, capacidade de carga de 50 ml, ou similar  </v>
          </cell>
          <cell r="H1551" t="str">
            <v xml:space="preserve">un    </v>
          </cell>
          <cell r="I1551">
            <v>4</v>
          </cell>
          <cell r="J1551">
            <v>8008.86</v>
          </cell>
          <cell r="K1551">
            <v>7533.84</v>
          </cell>
          <cell r="L1551">
            <v>32035.439999999999</v>
          </cell>
        </row>
        <row r="1552">
          <cell r="D1552" t="str">
            <v xml:space="preserve">  I. 23.            </v>
          </cell>
          <cell r="E1552" t="str">
            <v xml:space="preserve">      </v>
          </cell>
          <cell r="F1552" t="str">
            <v>1.3.</v>
          </cell>
          <cell r="G1552" t="str">
            <v xml:space="preserve">Laboratório de Bacteriologia  </v>
          </cell>
          <cell r="H1552" t="str">
            <v xml:space="preserve">      </v>
          </cell>
          <cell r="I1552">
            <v>0</v>
          </cell>
          <cell r="J1552">
            <v>0</v>
          </cell>
          <cell r="K1552">
            <v>0</v>
          </cell>
          <cell r="L1552">
            <v>0</v>
          </cell>
        </row>
        <row r="1553">
          <cell r="D1553" t="str">
            <v xml:space="preserve">  I. 24.            </v>
          </cell>
          <cell r="E1553" t="str">
            <v>CP1381</v>
          </cell>
          <cell r="F1553" t="str">
            <v>1.3.1.</v>
          </cell>
          <cell r="G1553" t="str">
            <v xml:space="preserve">Autoclave capacidade 18 litros mod. SD-18 marca PHOENIX pressão de trabalho 1, 0 a 2,3 kgf/cm²  </v>
          </cell>
          <cell r="H1553" t="str">
            <v xml:space="preserve">un    </v>
          </cell>
          <cell r="I1553">
            <v>2</v>
          </cell>
          <cell r="J1553">
            <v>4890.79</v>
          </cell>
          <cell r="K1553">
            <v>6033.46</v>
          </cell>
          <cell r="L1553">
            <v>9781.58</v>
          </cell>
        </row>
        <row r="1554">
          <cell r="D1554" t="str">
            <v xml:space="preserve">  I. 25.            </v>
          </cell>
          <cell r="E1554" t="str">
            <v>CP1455</v>
          </cell>
          <cell r="F1554" t="str">
            <v>1.3.2.</v>
          </cell>
          <cell r="G1554" t="str">
            <v xml:space="preserve">Estufa bacteriológica, marca FANEM, modelo 502/2-A ou similar  </v>
          </cell>
          <cell r="H1554" t="str">
            <v xml:space="preserve">un    </v>
          </cell>
          <cell r="I1554">
            <v>3</v>
          </cell>
          <cell r="J1554">
            <v>2767.99</v>
          </cell>
          <cell r="K1554">
            <v>3543.96</v>
          </cell>
          <cell r="L1554">
            <v>8303.9699999999993</v>
          </cell>
        </row>
        <row r="1555">
          <cell r="D1555" t="str">
            <v xml:space="preserve">  I. 26.            </v>
          </cell>
          <cell r="E1555" t="str">
            <v>CP1494</v>
          </cell>
          <cell r="F1555" t="str">
            <v>1.3.3.</v>
          </cell>
          <cell r="G1555" t="str">
            <v xml:space="preserve">Geladeira, marca PROSDÓCIMO, dimensões 0,54 x 0,54 x 1,46 m, similar  </v>
          </cell>
          <cell r="H1555" t="str">
            <v xml:space="preserve">un    </v>
          </cell>
          <cell r="I1555">
            <v>1</v>
          </cell>
          <cell r="J1555">
            <v>2310.1799999999998</v>
          </cell>
          <cell r="K1555">
            <v>1933.67</v>
          </cell>
          <cell r="L1555">
            <v>2310.1799999999998</v>
          </cell>
        </row>
        <row r="1556">
          <cell r="D1556" t="str">
            <v xml:space="preserve">  I. 27.            </v>
          </cell>
          <cell r="E1556" t="str">
            <v>CP1375</v>
          </cell>
          <cell r="F1556" t="str">
            <v>1.3.4.</v>
          </cell>
          <cell r="G1556" t="str">
            <v xml:space="preserve">Incubadora para B.O.D. marca Marconi, modelo MA 415/S  </v>
          </cell>
          <cell r="H1556" t="str">
            <v xml:space="preserve">un    </v>
          </cell>
          <cell r="I1556">
            <v>2</v>
          </cell>
          <cell r="J1556">
            <v>6792.87</v>
          </cell>
          <cell r="K1556">
            <v>8697.17</v>
          </cell>
          <cell r="L1556">
            <v>13585.74</v>
          </cell>
        </row>
        <row r="1557">
          <cell r="D1557" t="str">
            <v xml:space="preserve">  I. 28.            </v>
          </cell>
          <cell r="E1557" t="str">
            <v xml:space="preserve">      </v>
          </cell>
          <cell r="F1557" t="str">
            <v>1.4.</v>
          </cell>
          <cell r="G1557" t="str">
            <v xml:space="preserve">Laboratório de Lodo  </v>
          </cell>
          <cell r="H1557" t="str">
            <v xml:space="preserve">      </v>
          </cell>
          <cell r="I1557">
            <v>0</v>
          </cell>
          <cell r="J1557">
            <v>0</v>
          </cell>
          <cell r="K1557">
            <v>0</v>
          </cell>
          <cell r="L1557">
            <v>0</v>
          </cell>
        </row>
        <row r="1558">
          <cell r="D1558" t="str">
            <v xml:space="preserve">  I. 29.            </v>
          </cell>
          <cell r="E1558" t="str">
            <v>CP1629</v>
          </cell>
          <cell r="F1558" t="str">
            <v>1.4.1.</v>
          </cell>
          <cell r="G1558" t="str">
            <v xml:space="preserve">Estabilizador de voltagem, marca MICRONAL, modelo B-322, dimensões 0,15x0,11x0,12, similar  </v>
          </cell>
          <cell r="H1558" t="str">
            <v xml:space="preserve">un    </v>
          </cell>
          <cell r="I1558">
            <v>1</v>
          </cell>
          <cell r="J1558">
            <v>156.58000000000001</v>
          </cell>
          <cell r="K1558">
            <v>131.08000000000001</v>
          </cell>
          <cell r="L1558">
            <v>156.58000000000001</v>
          </cell>
        </row>
        <row r="1559">
          <cell r="D1559" t="str">
            <v xml:space="preserve">  I. 30.            </v>
          </cell>
          <cell r="E1559" t="str">
            <v>CP1465</v>
          </cell>
          <cell r="F1559" t="str">
            <v>1.4.2.</v>
          </cell>
          <cell r="G1559" t="str">
            <v xml:space="preserve">Estufa de Secagem e esterilização, marca FANEM, modelo 515/3A  </v>
          </cell>
          <cell r="H1559" t="str">
            <v xml:space="preserve">un    </v>
          </cell>
          <cell r="I1559">
            <v>1</v>
          </cell>
          <cell r="J1559">
            <v>2220.52</v>
          </cell>
          <cell r="K1559">
            <v>3172.17</v>
          </cell>
          <cell r="L1559">
            <v>2220.52</v>
          </cell>
        </row>
        <row r="1560">
          <cell r="D1560" t="str">
            <v xml:space="preserve">  I. 31.            </v>
          </cell>
          <cell r="E1560" t="str">
            <v>CP1517</v>
          </cell>
          <cell r="F1560" t="str">
            <v>1.4.3.</v>
          </cell>
          <cell r="G1560" t="str">
            <v xml:space="preserve">Agitador Magnético, marca Nova Ética, modelo 119 tampo superior em alumínio medindo 200 x 200 mm, velocidade regulável e com controle de temperatura  </v>
          </cell>
          <cell r="H1560" t="str">
            <v xml:space="preserve">un    </v>
          </cell>
          <cell r="I1560">
            <v>2</v>
          </cell>
          <cell r="J1560">
            <v>1719.54</v>
          </cell>
          <cell r="K1560">
            <v>2456.4899999999998</v>
          </cell>
          <cell r="L1560">
            <v>3439.08</v>
          </cell>
        </row>
        <row r="1561">
          <cell r="D1561" t="str">
            <v xml:space="preserve">  I. 32.            </v>
          </cell>
          <cell r="E1561" t="str">
            <v>CP1315</v>
          </cell>
          <cell r="F1561" t="str">
            <v>1.4.4.</v>
          </cell>
          <cell r="G1561" t="str">
            <v xml:space="preserve">Balança analisadora de umidade por secagem marca SARTORIUS modelo MA 30, cap. 30 g, resolução 0,001g ou similar  </v>
          </cell>
          <cell r="H1561" t="str">
            <v xml:space="preserve">un    </v>
          </cell>
          <cell r="I1561">
            <v>1</v>
          </cell>
          <cell r="J1561">
            <v>11639.36</v>
          </cell>
          <cell r="K1561">
            <v>14902.25</v>
          </cell>
          <cell r="L1561">
            <v>11639.36</v>
          </cell>
        </row>
        <row r="1562">
          <cell r="D1562" t="str">
            <v xml:space="preserve">  I. 33.            </v>
          </cell>
          <cell r="E1562" t="str">
            <v>CP1447</v>
          </cell>
          <cell r="F1562" t="str">
            <v>1.4.5.</v>
          </cell>
          <cell r="G1562" t="str">
            <v xml:space="preserve">Bomba de Vácuo, modelo 820, marca Fisaton  </v>
          </cell>
          <cell r="H1562" t="str">
            <v xml:space="preserve">un    </v>
          </cell>
          <cell r="I1562">
            <v>1</v>
          </cell>
          <cell r="J1562">
            <v>2728.43</v>
          </cell>
          <cell r="K1562">
            <v>3897.75</v>
          </cell>
          <cell r="L1562">
            <v>2728.43</v>
          </cell>
        </row>
        <row r="1563">
          <cell r="D1563" t="str">
            <v xml:space="preserve">  I. 34.            </v>
          </cell>
          <cell r="E1563" t="str">
            <v>CP0623</v>
          </cell>
          <cell r="F1563" t="str">
            <v>1.4.6.</v>
          </cell>
          <cell r="G1563" t="str">
            <v xml:space="preserve">Agitador para floculação JAR TEST, marca NOVA ÉTICA, 218LDB, 10 a 600 rpm e tacômetro digital de 04 dígitos  </v>
          </cell>
          <cell r="H1563" t="str">
            <v xml:space="preserve">un    </v>
          </cell>
          <cell r="I1563">
            <v>1</v>
          </cell>
          <cell r="J1563">
            <v>11003.61</v>
          </cell>
          <cell r="K1563">
            <v>14462.32</v>
          </cell>
          <cell r="L1563">
            <v>11003.61</v>
          </cell>
        </row>
        <row r="1564">
          <cell r="D1564" t="str">
            <v xml:space="preserve">  I. 35.            </v>
          </cell>
          <cell r="E1564" t="str">
            <v>CP0622</v>
          </cell>
          <cell r="F1564" t="str">
            <v>1.4.7.</v>
          </cell>
          <cell r="G1564" t="str">
            <v xml:space="preserve">Banho Maria com agitação interna MARCONI, modelo MA 470/216, ou similar  </v>
          </cell>
          <cell r="H1564" t="str">
            <v xml:space="preserve">un    </v>
          </cell>
          <cell r="I1564">
            <v>1</v>
          </cell>
          <cell r="J1564">
            <v>6224.24</v>
          </cell>
          <cell r="K1564">
            <v>8444.08</v>
          </cell>
          <cell r="L1564">
            <v>6224.24</v>
          </cell>
        </row>
        <row r="1565">
          <cell r="D1565" t="str">
            <v xml:space="preserve">  I. 36.            </v>
          </cell>
          <cell r="E1565" t="str">
            <v>CP1426</v>
          </cell>
          <cell r="F1565" t="str">
            <v>1.4.8.</v>
          </cell>
          <cell r="G1565" t="str">
            <v xml:space="preserve">Centrífuga de bancada FANEM, modelo 206 MP/1-BL ou similar  </v>
          </cell>
          <cell r="H1565" t="str">
            <v xml:space="preserve">un    </v>
          </cell>
          <cell r="I1565">
            <v>1</v>
          </cell>
          <cell r="J1565">
            <v>4664.87</v>
          </cell>
          <cell r="K1565">
            <v>6532.61</v>
          </cell>
          <cell r="L1565">
            <v>4664.87</v>
          </cell>
        </row>
        <row r="1566">
          <cell r="D1566" t="str">
            <v xml:space="preserve">  I. 37.            </v>
          </cell>
          <cell r="E1566" t="str">
            <v>CP1453</v>
          </cell>
          <cell r="F1566" t="str">
            <v>1.4.9.</v>
          </cell>
          <cell r="G1566" t="str">
            <v xml:space="preserve">Pipetador de Precisão de 1 a 10 ml marca Gilson, modelo Pipetman P10  </v>
          </cell>
          <cell r="H1566" t="str">
            <v xml:space="preserve">un    </v>
          </cell>
          <cell r="I1566">
            <v>2</v>
          </cell>
          <cell r="J1566">
            <v>2603.8000000000002</v>
          </cell>
          <cell r="K1566">
            <v>2180.7199999999998</v>
          </cell>
          <cell r="L1566">
            <v>5207.6000000000004</v>
          </cell>
        </row>
        <row r="1567">
          <cell r="D1567" t="str">
            <v xml:space="preserve">  I. 38.            </v>
          </cell>
          <cell r="E1567" t="str">
            <v>CP1453</v>
          </cell>
          <cell r="F1567" t="str">
            <v>1.4.10.</v>
          </cell>
          <cell r="G1567" t="str">
            <v xml:space="preserve">Pipetador de precisão, marca GILSON, modelo PIPETMAN P 10 ml de 0,5 a 10 ml  </v>
          </cell>
          <cell r="H1567" t="str">
            <v xml:space="preserve">un    </v>
          </cell>
          <cell r="I1567">
            <v>2</v>
          </cell>
          <cell r="J1567">
            <v>2603.8000000000002</v>
          </cell>
          <cell r="K1567">
            <v>2185.1999999999998</v>
          </cell>
          <cell r="L1567">
            <v>5207.6000000000004</v>
          </cell>
        </row>
        <row r="1568">
          <cell r="D1568" t="str">
            <v xml:space="preserve">  I. 39.            </v>
          </cell>
          <cell r="E1568" t="str">
            <v>CP1372</v>
          </cell>
          <cell r="F1568" t="str">
            <v>1.4.11.</v>
          </cell>
          <cell r="G1568" t="str">
            <v xml:space="preserve">Pipetador automático marca HIRSCHMANN, modelo AKKU  </v>
          </cell>
          <cell r="H1568" t="str">
            <v xml:space="preserve">un    </v>
          </cell>
          <cell r="I1568">
            <v>3</v>
          </cell>
          <cell r="J1568">
            <v>4550.42</v>
          </cell>
          <cell r="K1568">
            <v>3795.35</v>
          </cell>
          <cell r="L1568">
            <v>13651.26</v>
          </cell>
        </row>
        <row r="1569">
          <cell r="D1569" t="str">
            <v xml:space="preserve">  I. 40.            </v>
          </cell>
          <cell r="E1569" t="str">
            <v xml:space="preserve">      </v>
          </cell>
          <cell r="F1569" t="str">
            <v>2.</v>
          </cell>
          <cell r="G1569" t="str">
            <v xml:space="preserve">Fornecimento e Assentamento de Mobiliários e Utensílios para Laboratório  </v>
          </cell>
          <cell r="H1569" t="str">
            <v xml:space="preserve">      </v>
          </cell>
          <cell r="I1569">
            <v>0</v>
          </cell>
          <cell r="J1569">
            <v>0</v>
          </cell>
          <cell r="K1569">
            <v>0</v>
          </cell>
          <cell r="L1569">
            <v>0</v>
          </cell>
        </row>
        <row r="1570">
          <cell r="D1570" t="str">
            <v xml:space="preserve">  I. 41.            </v>
          </cell>
          <cell r="E1570" t="str">
            <v xml:space="preserve">      </v>
          </cell>
          <cell r="F1570" t="str">
            <v>2.1.</v>
          </cell>
          <cell r="G1570" t="str">
            <v xml:space="preserve">Sala de Balança  </v>
          </cell>
          <cell r="H1570" t="str">
            <v xml:space="preserve">      </v>
          </cell>
          <cell r="I1570">
            <v>0</v>
          </cell>
          <cell r="J1570">
            <v>0</v>
          </cell>
          <cell r="K1570">
            <v>0</v>
          </cell>
          <cell r="L1570">
            <v>0</v>
          </cell>
        </row>
        <row r="1571">
          <cell r="D1571" t="str">
            <v xml:space="preserve">  I. 42.            </v>
          </cell>
          <cell r="E1571" t="str">
            <v xml:space="preserve">      </v>
          </cell>
          <cell r="F1571" t="str">
            <v>2.1.1.</v>
          </cell>
          <cell r="G1571" t="str">
            <v xml:space="preserve">Bancada lateral em L, medindo 4500 x 700 x 900 mm, composta de:  </v>
          </cell>
          <cell r="H1571" t="str">
            <v xml:space="preserve">      </v>
          </cell>
          <cell r="I1571">
            <v>0</v>
          </cell>
          <cell r="J1571">
            <v>0</v>
          </cell>
          <cell r="K1571">
            <v>0</v>
          </cell>
          <cell r="L1571">
            <v>0</v>
          </cell>
        </row>
        <row r="1572">
          <cell r="D1572" t="str">
            <v xml:space="preserve">  I. 43.            </v>
          </cell>
          <cell r="E1572" t="str">
            <v>CP1598</v>
          </cell>
          <cell r="F1572" t="str">
            <v>2.1.1.1.</v>
          </cell>
          <cell r="G1572" t="str">
            <v xml:space="preserve">Tampo construído em madeira de compensado tipo naval, com 30 mm de espessura, revestido com laminado melamínico 700 mm de profundidade, ref. DS-0710  </v>
          </cell>
          <cell r="H1572" t="str">
            <v xml:space="preserve">m     </v>
          </cell>
          <cell r="I1572">
            <v>5</v>
          </cell>
          <cell r="J1572">
            <v>346.56</v>
          </cell>
          <cell r="K1572">
            <v>349.46</v>
          </cell>
          <cell r="L1572">
            <v>1732.8</v>
          </cell>
        </row>
        <row r="1573">
          <cell r="D1573" t="str">
            <v xml:space="preserve">  I. 44.            </v>
          </cell>
          <cell r="E1573" t="str">
            <v>CP1482</v>
          </cell>
          <cell r="F1573" t="str">
            <v>2.1.1.2.</v>
          </cell>
          <cell r="G1573" t="str">
            <v>Mesa para balança, medindo 800 x 700 x 900 mm, composta de: - Tampo de laminado melamínico (fórmica) tx, com núcleo em madeira compensado naval, medindo 800 x 700 x 30 mm, Apoio central em granito natural polido, medindo 360 x 460 mm sobre calços anti-vib</v>
          </cell>
          <cell r="H1573" t="str">
            <v xml:space="preserve">un    </v>
          </cell>
          <cell r="I1573">
            <v>1</v>
          </cell>
          <cell r="J1573">
            <v>1651.58</v>
          </cell>
          <cell r="K1573">
            <v>2191.7600000000002</v>
          </cell>
          <cell r="L1573">
            <v>1651.58</v>
          </cell>
        </row>
        <row r="1574">
          <cell r="D1574" t="str">
            <v xml:space="preserve">  I. 45.            </v>
          </cell>
          <cell r="E1574" t="str">
            <v>CP1463</v>
          </cell>
          <cell r="F1574" t="str">
            <v>2.1.1.3.</v>
          </cell>
          <cell r="G1574" t="str">
            <v>Mesa para balança, medindo 1500 x 700 x 900 mm, composta de: - Tampo em laminado melamínico (fórmica) tx, com núcleo em madeira compensado naval, medindo 1500 x 700 x 30 mm, Apoio em granito natural polido, medindo 360 x 400 mm sobre calços anti-vibratóri</v>
          </cell>
          <cell r="H1574" t="str">
            <v xml:space="preserve">un    </v>
          </cell>
          <cell r="I1574">
            <v>1</v>
          </cell>
          <cell r="J1574">
            <v>2789.51</v>
          </cell>
          <cell r="K1574">
            <v>3985.02</v>
          </cell>
          <cell r="L1574">
            <v>2789.51</v>
          </cell>
        </row>
        <row r="1575">
          <cell r="D1575" t="str">
            <v xml:space="preserve">  I. 46.            </v>
          </cell>
          <cell r="E1575" t="str">
            <v>CP1509</v>
          </cell>
          <cell r="F1575" t="str">
            <v>2.1.1.4.</v>
          </cell>
          <cell r="G1575" t="str">
            <v xml:space="preserve">Módulo inferior medindo 500 x 530 x 870 mm, provido de 01 porta e 01 gaveta, ref. PG-500  </v>
          </cell>
          <cell r="H1575" t="str">
            <v xml:space="preserve">un    </v>
          </cell>
          <cell r="I1575">
            <v>1</v>
          </cell>
          <cell r="J1575">
            <v>1041.6600000000001</v>
          </cell>
          <cell r="K1575">
            <v>873.64</v>
          </cell>
          <cell r="L1575">
            <v>1041.6600000000001</v>
          </cell>
        </row>
        <row r="1576">
          <cell r="D1576" t="str">
            <v xml:space="preserve">  I. 47.            </v>
          </cell>
          <cell r="E1576" t="str">
            <v>CP1526</v>
          </cell>
          <cell r="F1576" t="str">
            <v>2.1.1.5.</v>
          </cell>
          <cell r="G1576" t="str">
            <v xml:space="preserve">Módulo inferior medindo 1000 x 530 x 87 mm, provido de 02 portas e 01 prateleira, ref. PP-1000  </v>
          </cell>
          <cell r="H1576" t="str">
            <v xml:space="preserve">un    </v>
          </cell>
          <cell r="I1576">
            <v>1</v>
          </cell>
          <cell r="J1576">
            <v>968.14</v>
          </cell>
          <cell r="K1576">
            <v>1042.24</v>
          </cell>
          <cell r="L1576">
            <v>968.14</v>
          </cell>
        </row>
        <row r="1577">
          <cell r="D1577" t="str">
            <v xml:space="preserve">  I. 48.            </v>
          </cell>
          <cell r="E1577" t="str">
            <v xml:space="preserve">      </v>
          </cell>
          <cell r="F1577" t="str">
            <v>2.1.2.</v>
          </cell>
          <cell r="G1577" t="str">
            <v xml:space="preserve">Sistema de Segurança  </v>
          </cell>
          <cell r="H1577" t="str">
            <v xml:space="preserve">      </v>
          </cell>
          <cell r="I1577">
            <v>0</v>
          </cell>
          <cell r="J1577">
            <v>0</v>
          </cell>
          <cell r="K1577">
            <v>0</v>
          </cell>
          <cell r="L1577">
            <v>0</v>
          </cell>
        </row>
        <row r="1578">
          <cell r="D1578" t="str">
            <v xml:space="preserve">  I. 49.            </v>
          </cell>
          <cell r="E1578" t="str">
            <v>CP1464</v>
          </cell>
          <cell r="F1578" t="str">
            <v>2.1.2.1.</v>
          </cell>
          <cell r="G1578" t="str">
            <v>Chuveiro de emergência e lava-olhos com acionamento por alavanca com completa independência, sendo: Lava olhos com pia de aço inoxidável circular com tubulação de água e sapata de fixação ao piso em tubos de aço carbono c/ pintura epoxi, manufaturados con</v>
          </cell>
          <cell r="H1578" t="str">
            <v xml:space="preserve">un    </v>
          </cell>
          <cell r="I1578">
            <v>1</v>
          </cell>
          <cell r="J1578">
            <v>1273.06</v>
          </cell>
          <cell r="K1578">
            <v>1068.8800000000001</v>
          </cell>
          <cell r="L1578">
            <v>1273.06</v>
          </cell>
        </row>
        <row r="1579">
          <cell r="D1579" t="str">
            <v xml:space="preserve">  I. 50.            </v>
          </cell>
          <cell r="E1579" t="str">
            <v xml:space="preserve">      </v>
          </cell>
          <cell r="F1579" t="str">
            <v>2.2.</v>
          </cell>
          <cell r="G1579" t="str">
            <v xml:space="preserve">Laboratório  </v>
          </cell>
          <cell r="H1579" t="str">
            <v xml:space="preserve">      </v>
          </cell>
          <cell r="I1579">
            <v>0</v>
          </cell>
          <cell r="J1579">
            <v>0</v>
          </cell>
          <cell r="K1579">
            <v>0</v>
          </cell>
          <cell r="L1579">
            <v>0</v>
          </cell>
        </row>
        <row r="1580">
          <cell r="D1580" t="str">
            <v xml:space="preserve">  I. 51.            </v>
          </cell>
          <cell r="E1580" t="str">
            <v xml:space="preserve">      </v>
          </cell>
          <cell r="F1580" t="str">
            <v>2.2.1.</v>
          </cell>
          <cell r="G1580" t="str">
            <v xml:space="preserve">Bancada lateral linear, medido 17150 x 700 x 900 mm, composta de:  </v>
          </cell>
          <cell r="H1580" t="str">
            <v xml:space="preserve">      </v>
          </cell>
          <cell r="I1580">
            <v>0</v>
          </cell>
          <cell r="J1580">
            <v>0</v>
          </cell>
          <cell r="K1580">
            <v>0</v>
          </cell>
          <cell r="L1580">
            <v>0</v>
          </cell>
        </row>
        <row r="1581">
          <cell r="D1581" t="str">
            <v xml:space="preserve">  I. 52.            </v>
          </cell>
          <cell r="E1581" t="str">
            <v>CP1598</v>
          </cell>
          <cell r="F1581" t="str">
            <v>2.2.1.1.</v>
          </cell>
          <cell r="G1581" t="str">
            <v xml:space="preserve">Tampo construído em madeira de compensado tipo naval, com 30 mm de espessura, revestido com laminado melamínico tx, medindo 700 mm de profundidade, ref. DS-0710  </v>
          </cell>
          <cell r="H1581" t="str">
            <v xml:space="preserve">m     </v>
          </cell>
          <cell r="I1581">
            <v>9</v>
          </cell>
          <cell r="J1581">
            <v>346.56</v>
          </cell>
          <cell r="K1581">
            <v>303.47000000000003</v>
          </cell>
          <cell r="L1581">
            <v>3119.04</v>
          </cell>
        </row>
        <row r="1582">
          <cell r="D1582" t="str">
            <v xml:space="preserve">  I. 53.            </v>
          </cell>
          <cell r="E1582" t="str">
            <v>CP1570</v>
          </cell>
          <cell r="F1582" t="str">
            <v>2.2.1.2.</v>
          </cell>
          <cell r="G1582" t="str">
            <v xml:space="preserve">Tampo em granito natural polido com 30 mm de espessura e 700 mm de profundidade, ref. DS-0730  </v>
          </cell>
          <cell r="H1582" t="str">
            <v xml:space="preserve">m     </v>
          </cell>
          <cell r="I1582">
            <v>9</v>
          </cell>
          <cell r="J1582">
            <v>523.44000000000005</v>
          </cell>
          <cell r="K1582">
            <v>513.45000000000005</v>
          </cell>
          <cell r="L1582">
            <v>4710.96</v>
          </cell>
        </row>
        <row r="1583">
          <cell r="D1583" t="str">
            <v xml:space="preserve">  I. 54.            </v>
          </cell>
          <cell r="E1583" t="str">
            <v>CP1495</v>
          </cell>
          <cell r="F1583" t="str">
            <v>2.2.1.3.</v>
          </cell>
          <cell r="G1583" t="str">
            <v xml:space="preserve">Módulo inferior medindo 1000 x 530x 870 mm, provido de 02 portas, 01 prateleira e 02 gavetas, ref. PG-1000  </v>
          </cell>
          <cell r="H1583" t="str">
            <v xml:space="preserve">un    </v>
          </cell>
          <cell r="I1583">
            <v>8</v>
          </cell>
          <cell r="J1583">
            <v>1441.67</v>
          </cell>
          <cell r="K1583">
            <v>1203.17</v>
          </cell>
          <cell r="L1583">
            <v>11533.36</v>
          </cell>
        </row>
        <row r="1584">
          <cell r="D1584" t="str">
            <v xml:space="preserve">  I. 55.            </v>
          </cell>
          <cell r="E1584" t="str">
            <v>CP1509</v>
          </cell>
          <cell r="F1584" t="str">
            <v>2.2.1.4.</v>
          </cell>
          <cell r="G1584" t="str">
            <v xml:space="preserve">Módulo inferior medindo 500 x 530 x 870 mm, provido de 01 porta e 01 gaveta, ref. PG-500  </v>
          </cell>
          <cell r="H1584" t="str">
            <v xml:space="preserve">un    </v>
          </cell>
          <cell r="I1584">
            <v>3</v>
          </cell>
          <cell r="J1584">
            <v>1041.6600000000001</v>
          </cell>
          <cell r="K1584">
            <v>873.64</v>
          </cell>
          <cell r="L1584">
            <v>3124.98</v>
          </cell>
        </row>
        <row r="1585">
          <cell r="D1585" t="str">
            <v xml:space="preserve">  I. 56.            </v>
          </cell>
          <cell r="E1585" t="str">
            <v>CP1542</v>
          </cell>
          <cell r="F1585" t="str">
            <v>2.2.1.5.</v>
          </cell>
          <cell r="G1585" t="str">
            <v xml:space="preserve">Módulo inferior para cuba, medindo 900 x 570 x 870 mm, provido de 02 portas, ref. FP-900  </v>
          </cell>
          <cell r="H1585" t="str">
            <v xml:space="preserve">un    </v>
          </cell>
          <cell r="I1585">
            <v>2</v>
          </cell>
          <cell r="J1585">
            <v>1072.8900000000001</v>
          </cell>
          <cell r="K1585">
            <v>1532.7</v>
          </cell>
          <cell r="L1585">
            <v>2145.7800000000002</v>
          </cell>
        </row>
        <row r="1586">
          <cell r="D1586" t="str">
            <v xml:space="preserve">  I. 57.            </v>
          </cell>
          <cell r="E1586" t="str">
            <v>CP1500</v>
          </cell>
          <cell r="F1586" t="str">
            <v>2.2.1.6.</v>
          </cell>
          <cell r="G1586" t="str">
            <v xml:space="preserve">Módulo inferior medindo 900 x 530 x 870 mm, provido de 02 portas, 01 prateleira e 02 gavetas, ref. PG-900  </v>
          </cell>
          <cell r="H1586" t="str">
            <v xml:space="preserve">un    </v>
          </cell>
          <cell r="I1586">
            <v>2</v>
          </cell>
          <cell r="J1586">
            <v>1375.58</v>
          </cell>
          <cell r="K1586">
            <v>1149.53</v>
          </cell>
          <cell r="L1586">
            <v>2751.16</v>
          </cell>
        </row>
        <row r="1587">
          <cell r="D1587" t="str">
            <v xml:space="preserve">  I. 58.            </v>
          </cell>
          <cell r="E1587" t="str">
            <v>CP1759</v>
          </cell>
          <cell r="F1587" t="str">
            <v>2.2.1.7.</v>
          </cell>
          <cell r="G1587" t="str">
            <v xml:space="preserve">Painel de acabamento medindo 110 x 870 mm, para fechamento lateral, ref. PF-110  </v>
          </cell>
          <cell r="H1587" t="str">
            <v xml:space="preserve">un    </v>
          </cell>
          <cell r="I1587">
            <v>2</v>
          </cell>
          <cell r="J1587">
            <v>114.53</v>
          </cell>
          <cell r="K1587">
            <v>137.94</v>
          </cell>
          <cell r="L1587">
            <v>229.06</v>
          </cell>
        </row>
        <row r="1588">
          <cell r="D1588" t="str">
            <v xml:space="preserve">  I. 59.            </v>
          </cell>
          <cell r="E1588" t="str">
            <v>CP1645</v>
          </cell>
          <cell r="F1588" t="str">
            <v>2.2.1.8.</v>
          </cell>
          <cell r="G1588" t="str">
            <v xml:space="preserve">Módulo vazado medindo 1000 x 530 x 870 mm, provido de 01 painel de fundo, ref. VZ-1000  </v>
          </cell>
          <cell r="H1588" t="str">
            <v xml:space="preserve">un    </v>
          </cell>
          <cell r="I1588">
            <v>1</v>
          </cell>
          <cell r="J1588">
            <v>316.51</v>
          </cell>
          <cell r="K1588">
            <v>452.15</v>
          </cell>
          <cell r="L1588">
            <v>316.51</v>
          </cell>
        </row>
        <row r="1589">
          <cell r="D1589" t="str">
            <v xml:space="preserve">  I. 60.            </v>
          </cell>
          <cell r="E1589" t="str">
            <v>CP1660</v>
          </cell>
          <cell r="F1589" t="str">
            <v>2.2.1.9.</v>
          </cell>
          <cell r="G1589" t="str">
            <v xml:space="preserve">Módulo vazado medindo 850 x 530 x 870 mm, provido de 01 painel de fundo, ref. VZ-850  </v>
          </cell>
          <cell r="H1589" t="str">
            <v xml:space="preserve">un    </v>
          </cell>
          <cell r="I1589">
            <v>1</v>
          </cell>
          <cell r="J1589">
            <v>300.41000000000003</v>
          </cell>
          <cell r="K1589">
            <v>429.16</v>
          </cell>
          <cell r="L1589">
            <v>300.41000000000003</v>
          </cell>
        </row>
        <row r="1590">
          <cell r="D1590" t="str">
            <v xml:space="preserve">  I. 61.            </v>
          </cell>
          <cell r="E1590" t="str">
            <v>CP1529</v>
          </cell>
          <cell r="F1590" t="str">
            <v>2.2.1.10.</v>
          </cell>
          <cell r="G1590" t="str">
            <v xml:space="preserve">Cuba em aço inox AISI-304 medindo 500 x 400 x 250 mm, ref. DS-6025  </v>
          </cell>
          <cell r="H1590" t="str">
            <v xml:space="preserve">un    </v>
          </cell>
          <cell r="I1590">
            <v>2</v>
          </cell>
          <cell r="J1590">
            <v>863.87</v>
          </cell>
          <cell r="K1590">
            <v>720.37</v>
          </cell>
          <cell r="L1590">
            <v>1727.74</v>
          </cell>
        </row>
        <row r="1591">
          <cell r="D1591" t="str">
            <v xml:space="preserve">  I. 62.            </v>
          </cell>
          <cell r="E1591" t="str">
            <v>CP1708</v>
          </cell>
          <cell r="F1591" t="str">
            <v>2.2.1.11.</v>
          </cell>
          <cell r="G1591" t="str">
            <v xml:space="preserve">Válvula americana construída em aço inox, medindo 3 1/2 (Dreno)  </v>
          </cell>
          <cell r="H1591" t="str">
            <v xml:space="preserve">un    </v>
          </cell>
          <cell r="I1591">
            <v>2</v>
          </cell>
          <cell r="J1591">
            <v>63.85</v>
          </cell>
          <cell r="K1591">
            <v>53.64</v>
          </cell>
          <cell r="L1591">
            <v>127.7</v>
          </cell>
        </row>
        <row r="1592">
          <cell r="D1592" t="str">
            <v xml:space="preserve">  I. 63.            </v>
          </cell>
          <cell r="E1592" t="str">
            <v>CP1554</v>
          </cell>
          <cell r="F1592" t="str">
            <v>2.2.1.12.</v>
          </cell>
          <cell r="G1592" t="str">
            <v xml:space="preserve">Válvula com registro de bloqueio em latão cromado, montada em pedestal, composta de nuca fixa e bico escalonado para Água Potável, ref. DS-8530 AF  </v>
          </cell>
          <cell r="H1592" t="str">
            <v xml:space="preserve">un    </v>
          </cell>
          <cell r="I1592">
            <v>2</v>
          </cell>
          <cell r="J1592">
            <v>720.17</v>
          </cell>
          <cell r="K1592">
            <v>919.62</v>
          </cell>
          <cell r="L1592">
            <v>1440.34</v>
          </cell>
        </row>
        <row r="1593">
          <cell r="D1593" t="str">
            <v xml:space="preserve">  I. 64.            </v>
          </cell>
          <cell r="E1593" t="str">
            <v>CP1579</v>
          </cell>
          <cell r="F1593" t="str">
            <v>2.2.1.13.</v>
          </cell>
          <cell r="G1593" t="str">
            <v xml:space="preserve">Válvula c/ registro de bloqueio para Gás GLP, montada sobre pedestal, composta de bico escalonado reto em latão cromado, ref. DS-8030 GL  </v>
          </cell>
          <cell r="H1593" t="str">
            <v xml:space="preserve">un    </v>
          </cell>
          <cell r="I1593">
            <v>4</v>
          </cell>
          <cell r="J1593">
            <v>753.17</v>
          </cell>
          <cell r="K1593">
            <v>1075.96</v>
          </cell>
          <cell r="L1593">
            <v>3012.68</v>
          </cell>
        </row>
        <row r="1594">
          <cell r="D1594" t="str">
            <v xml:space="preserve">  I. 65.            </v>
          </cell>
          <cell r="E1594" t="str">
            <v>CP3010</v>
          </cell>
          <cell r="F1594" t="str">
            <v>2.2.1.14.</v>
          </cell>
          <cell r="G1594" t="str">
            <v xml:space="preserve">Tomada 220/380 volts montada em caixa de PVC sobre o tampo, ref. TOB 220/380  </v>
          </cell>
          <cell r="H1594" t="str">
            <v xml:space="preserve">cj    </v>
          </cell>
          <cell r="I1594">
            <v>17</v>
          </cell>
          <cell r="J1594">
            <v>219.94</v>
          </cell>
          <cell r="K1594">
            <v>314.2</v>
          </cell>
          <cell r="L1594">
            <v>3738.98</v>
          </cell>
        </row>
        <row r="1595">
          <cell r="D1595" t="str">
            <v xml:space="preserve">  I. 66.            </v>
          </cell>
          <cell r="E1595" t="str">
            <v xml:space="preserve">      </v>
          </cell>
          <cell r="F1595" t="str">
            <v>2.3.</v>
          </cell>
          <cell r="G1595" t="str">
            <v xml:space="preserve">Laboratório de Bacteriologia  </v>
          </cell>
          <cell r="H1595" t="str">
            <v xml:space="preserve">      </v>
          </cell>
          <cell r="I1595">
            <v>0</v>
          </cell>
          <cell r="J1595">
            <v>0</v>
          </cell>
          <cell r="K1595">
            <v>0</v>
          </cell>
          <cell r="L1595">
            <v>0</v>
          </cell>
        </row>
        <row r="1596">
          <cell r="D1596" t="str">
            <v xml:space="preserve">  I. 67.            </v>
          </cell>
          <cell r="E1596" t="str">
            <v xml:space="preserve">      </v>
          </cell>
          <cell r="F1596" t="str">
            <v>2.3.1.</v>
          </cell>
          <cell r="G1596" t="str">
            <v xml:space="preserve">Bancada lateral linear, medindo 11150 x 700 x 900 mm, composta de:  </v>
          </cell>
          <cell r="H1596" t="str">
            <v xml:space="preserve">      </v>
          </cell>
          <cell r="I1596">
            <v>0</v>
          </cell>
          <cell r="J1596">
            <v>0</v>
          </cell>
          <cell r="K1596">
            <v>0</v>
          </cell>
          <cell r="L1596">
            <v>0</v>
          </cell>
        </row>
        <row r="1597">
          <cell r="D1597" t="str">
            <v xml:space="preserve">  I. 68.            </v>
          </cell>
          <cell r="E1597" t="str">
            <v>CP1570</v>
          </cell>
          <cell r="F1597" t="str">
            <v>2.3.1.1.</v>
          </cell>
          <cell r="G1597" t="str">
            <v xml:space="preserve">Tampo em granito natural polido com 30 mm de espessura e 700 mm de profundidade, ref. DS-0730  </v>
          </cell>
          <cell r="H1597" t="str">
            <v xml:space="preserve">m     </v>
          </cell>
          <cell r="I1597">
            <v>12</v>
          </cell>
          <cell r="J1597">
            <v>523.44000000000005</v>
          </cell>
          <cell r="K1597">
            <v>574.76</v>
          </cell>
          <cell r="L1597">
            <v>6281.28</v>
          </cell>
        </row>
        <row r="1598">
          <cell r="D1598" t="str">
            <v xml:space="preserve">  I. 69.            </v>
          </cell>
          <cell r="E1598" t="str">
            <v>CP1509</v>
          </cell>
          <cell r="F1598" t="str">
            <v>2.3.1.2.</v>
          </cell>
          <cell r="G1598" t="str">
            <v xml:space="preserve">Módulo inferior medindo 500 x 530 x 870 mm, provido de 01 porta e 01 gaveta, ref. PG-500  </v>
          </cell>
          <cell r="H1598" t="str">
            <v xml:space="preserve">un    </v>
          </cell>
          <cell r="I1598">
            <v>4</v>
          </cell>
          <cell r="J1598">
            <v>1041.6600000000001</v>
          </cell>
          <cell r="K1598">
            <v>873.64</v>
          </cell>
          <cell r="L1598">
            <v>4166.6400000000003</v>
          </cell>
        </row>
        <row r="1599">
          <cell r="D1599" t="str">
            <v xml:space="preserve">  I. 70.            </v>
          </cell>
          <cell r="E1599" t="str">
            <v>CP1645</v>
          </cell>
          <cell r="F1599" t="str">
            <v>2.3.1.3.</v>
          </cell>
          <cell r="G1599" t="str">
            <v xml:space="preserve">Módulo vazado medindo 1000 x 530 x 870 mm, provido de 01 painel de fundo, ref. VZ-1000  </v>
          </cell>
          <cell r="H1599" t="str">
            <v xml:space="preserve">un    </v>
          </cell>
          <cell r="I1599">
            <v>1</v>
          </cell>
          <cell r="J1599">
            <v>316.51</v>
          </cell>
          <cell r="K1599">
            <v>452.15</v>
          </cell>
          <cell r="L1599">
            <v>316.51</v>
          </cell>
        </row>
        <row r="1600">
          <cell r="D1600" t="str">
            <v xml:space="preserve">  I. 71.            </v>
          </cell>
          <cell r="E1600" t="str">
            <v>CP3650</v>
          </cell>
          <cell r="F1600" t="str">
            <v>2.3.1.4.</v>
          </cell>
          <cell r="G1600" t="str">
            <v xml:space="preserve">Módulo inferior medindo 1000 x 530 x 870 mm, provido de 01 porta, 01 prateleira e 02 gavetas, ref. PG-1000  </v>
          </cell>
          <cell r="H1600" t="str">
            <v xml:space="preserve">un    </v>
          </cell>
          <cell r="I1600">
            <v>3</v>
          </cell>
          <cell r="J1600">
            <v>1437.17</v>
          </cell>
          <cell r="K1600">
            <v>1203.17</v>
          </cell>
          <cell r="L1600">
            <v>4311.51</v>
          </cell>
        </row>
        <row r="1601">
          <cell r="D1601" t="str">
            <v xml:space="preserve">  I. 72.            </v>
          </cell>
          <cell r="E1601" t="str">
            <v>CP1666</v>
          </cell>
          <cell r="F1601" t="str">
            <v>2.3.1.5.</v>
          </cell>
          <cell r="G1601" t="str">
            <v xml:space="preserve">Módulo vazado medindo 750 x 530 x 870 mm, provido de 01 painel de fundo, ref. VZ-750  </v>
          </cell>
          <cell r="H1601" t="str">
            <v xml:space="preserve">un    </v>
          </cell>
          <cell r="I1601">
            <v>1</v>
          </cell>
          <cell r="J1601">
            <v>278.95</v>
          </cell>
          <cell r="K1601">
            <v>398.5</v>
          </cell>
          <cell r="L1601">
            <v>278.95</v>
          </cell>
        </row>
        <row r="1602">
          <cell r="D1602" t="str">
            <v xml:space="preserve">  I. 73.            </v>
          </cell>
          <cell r="E1602" t="str">
            <v>CP1538</v>
          </cell>
          <cell r="F1602" t="str">
            <v>2.3.1.6.</v>
          </cell>
          <cell r="G1602" t="str">
            <v xml:space="preserve">Módulo inferior para cuba, medindo 1000 x 570 x 870, provido de 2 portas, Ref.: FP. 1000  </v>
          </cell>
          <cell r="H1602" t="str">
            <v xml:space="preserve">un    </v>
          </cell>
          <cell r="I1602">
            <v>2</v>
          </cell>
          <cell r="J1602">
            <v>917.54</v>
          </cell>
          <cell r="K1602">
            <v>1685.97</v>
          </cell>
          <cell r="L1602">
            <v>1835.08</v>
          </cell>
        </row>
        <row r="1603">
          <cell r="D1603" t="str">
            <v xml:space="preserve">  I. 74.            </v>
          </cell>
          <cell r="E1603" t="str">
            <v>CP1542</v>
          </cell>
          <cell r="F1603" t="str">
            <v>2.3.1.7.</v>
          </cell>
          <cell r="G1603" t="str">
            <v xml:space="preserve">Módulo inferior para cuba, medindo 900 x 570 x 870 mm, provido de 02 portas, ref. FP-900  </v>
          </cell>
          <cell r="H1603" t="str">
            <v xml:space="preserve">un    </v>
          </cell>
          <cell r="I1603">
            <v>1</v>
          </cell>
          <cell r="J1603">
            <v>1072.8900000000001</v>
          </cell>
          <cell r="K1603">
            <v>1532.7</v>
          </cell>
          <cell r="L1603">
            <v>1072.8900000000001</v>
          </cell>
        </row>
        <row r="1604">
          <cell r="D1604" t="str">
            <v xml:space="preserve">  I. 75.            </v>
          </cell>
          <cell r="E1604" t="str">
            <v>CP1759</v>
          </cell>
          <cell r="F1604" t="str">
            <v>2.3.1.8.</v>
          </cell>
          <cell r="G1604" t="str">
            <v xml:space="preserve">Painel de acabamento medindo 110 x 870 mm, para fechamento lateral, ref. PF-110  </v>
          </cell>
          <cell r="H1604" t="str">
            <v xml:space="preserve">un    </v>
          </cell>
          <cell r="I1604">
            <v>1</v>
          </cell>
          <cell r="J1604">
            <v>114.53</v>
          </cell>
          <cell r="K1604">
            <v>137.94</v>
          </cell>
          <cell r="L1604">
            <v>114.53</v>
          </cell>
        </row>
        <row r="1605">
          <cell r="D1605" t="str">
            <v xml:space="preserve">  I. 76.            </v>
          </cell>
          <cell r="E1605" t="str">
            <v>CP1790</v>
          </cell>
          <cell r="F1605" t="str">
            <v>2.3.1.9.</v>
          </cell>
          <cell r="G1605" t="str">
            <v xml:space="preserve">Painel de acabamento medindo 70 x 870 mm, para fechamento lateral, ref. PF-70  </v>
          </cell>
          <cell r="H1605" t="str">
            <v xml:space="preserve">un    </v>
          </cell>
          <cell r="I1605">
            <v>1</v>
          </cell>
          <cell r="J1605">
            <v>104.21</v>
          </cell>
          <cell r="K1605">
            <v>137.94</v>
          </cell>
          <cell r="L1605">
            <v>104.21</v>
          </cell>
        </row>
        <row r="1606">
          <cell r="D1606" t="str">
            <v xml:space="preserve">  I. 77.            </v>
          </cell>
          <cell r="E1606" t="str">
            <v>CP1529</v>
          </cell>
          <cell r="F1606" t="str">
            <v>2.3.1.10.</v>
          </cell>
          <cell r="G1606" t="str">
            <v xml:space="preserve">Cuba em aço inox AISI-304 medindo 500 x 400 x250 mm, ref. DS-6025  </v>
          </cell>
          <cell r="H1606" t="str">
            <v xml:space="preserve">un    </v>
          </cell>
          <cell r="I1606">
            <v>3</v>
          </cell>
          <cell r="J1606">
            <v>863.87</v>
          </cell>
          <cell r="K1606">
            <v>720.37</v>
          </cell>
          <cell r="L1606">
            <v>2591.61</v>
          </cell>
        </row>
        <row r="1607">
          <cell r="D1607" t="str">
            <v xml:space="preserve">  I. 78.            </v>
          </cell>
          <cell r="E1607" t="str">
            <v>CP1708</v>
          </cell>
          <cell r="F1607" t="str">
            <v>2.3.1.11.</v>
          </cell>
          <cell r="G1607" t="str">
            <v xml:space="preserve">Válvula americana construída em aço inox, medindo 3 1/2 (Dreno)  </v>
          </cell>
          <cell r="H1607" t="str">
            <v xml:space="preserve">un    </v>
          </cell>
          <cell r="I1607">
            <v>3</v>
          </cell>
          <cell r="J1607">
            <v>63.85</v>
          </cell>
          <cell r="K1607">
            <v>53.64</v>
          </cell>
          <cell r="L1607">
            <v>191.55</v>
          </cell>
        </row>
        <row r="1608">
          <cell r="D1608" t="str">
            <v xml:space="preserve">  I. 79.            </v>
          </cell>
          <cell r="E1608" t="str">
            <v>CP1554</v>
          </cell>
          <cell r="F1608" t="str">
            <v>2.3.1.12.</v>
          </cell>
          <cell r="G1608" t="str">
            <v xml:space="preserve">Válvula com registro de bloqueio em latão cromado, montada em pedestal, composta de nuca fixa e bico escalonado para Água Potável, ref. DS-8530 AF  </v>
          </cell>
          <cell r="H1608" t="str">
            <v xml:space="preserve">un    </v>
          </cell>
          <cell r="I1608">
            <v>3</v>
          </cell>
          <cell r="J1608">
            <v>720.17</v>
          </cell>
          <cell r="K1608">
            <v>919.62</v>
          </cell>
          <cell r="L1608">
            <v>2160.5100000000002</v>
          </cell>
        </row>
        <row r="1609">
          <cell r="D1609" t="str">
            <v xml:space="preserve">  I. 80.            </v>
          </cell>
          <cell r="E1609" t="str">
            <v xml:space="preserve">      </v>
          </cell>
          <cell r="F1609" t="str">
            <v>2.4.</v>
          </cell>
          <cell r="G1609" t="str">
            <v xml:space="preserve">Sala de Incubação  </v>
          </cell>
          <cell r="H1609" t="str">
            <v xml:space="preserve">      </v>
          </cell>
          <cell r="I1609">
            <v>0</v>
          </cell>
          <cell r="J1609">
            <v>0</v>
          </cell>
          <cell r="K1609">
            <v>0</v>
          </cell>
          <cell r="L1609">
            <v>0</v>
          </cell>
        </row>
        <row r="1610">
          <cell r="D1610" t="str">
            <v xml:space="preserve">  I. 81.            </v>
          </cell>
          <cell r="E1610" t="str">
            <v xml:space="preserve">      </v>
          </cell>
          <cell r="F1610" t="str">
            <v>2.4.1.</v>
          </cell>
          <cell r="G1610" t="str">
            <v xml:space="preserve">Bancada lateral linear, medindo 7850 x 700 x 900 mm, composta de:  </v>
          </cell>
          <cell r="H1610" t="str">
            <v xml:space="preserve">      </v>
          </cell>
          <cell r="I1610">
            <v>0</v>
          </cell>
          <cell r="J1610">
            <v>0</v>
          </cell>
          <cell r="K1610">
            <v>0</v>
          </cell>
          <cell r="L1610">
            <v>0</v>
          </cell>
        </row>
        <row r="1611">
          <cell r="D1611" t="str">
            <v xml:space="preserve">  I. 82.            </v>
          </cell>
          <cell r="E1611" t="str">
            <v>CP1570</v>
          </cell>
          <cell r="F1611" t="str">
            <v>2.4.1.1.</v>
          </cell>
          <cell r="G1611" t="str">
            <v xml:space="preserve">Tampo em granito natural polido com 30 mm de espessura e 700 mm de profundidade, ref. DS-0730  </v>
          </cell>
          <cell r="H1611" t="str">
            <v xml:space="preserve">m     </v>
          </cell>
          <cell r="I1611">
            <v>8</v>
          </cell>
          <cell r="J1611">
            <v>523.44000000000005</v>
          </cell>
          <cell r="K1611">
            <v>613.08000000000004</v>
          </cell>
          <cell r="L1611">
            <v>4187.5200000000004</v>
          </cell>
        </row>
        <row r="1612">
          <cell r="D1612" t="str">
            <v xml:space="preserve">  I. 83.            </v>
          </cell>
          <cell r="E1612" t="str">
            <v>CP1509</v>
          </cell>
          <cell r="F1612" t="str">
            <v>2.4.1.2.</v>
          </cell>
          <cell r="G1612" t="str">
            <v xml:space="preserve">Módulo inferior medindo 50 x 530 x 870 mm, provido de 01 porta e 01 gaveta, ref. PG-500  </v>
          </cell>
          <cell r="H1612" t="str">
            <v xml:space="preserve">un    </v>
          </cell>
          <cell r="I1612">
            <v>1</v>
          </cell>
          <cell r="J1612">
            <v>1041.6600000000001</v>
          </cell>
          <cell r="K1612">
            <v>873.64</v>
          </cell>
          <cell r="L1612">
            <v>1041.6600000000001</v>
          </cell>
        </row>
        <row r="1613">
          <cell r="D1613" t="str">
            <v xml:space="preserve">  I. 84.            </v>
          </cell>
          <cell r="E1613" t="str">
            <v>CP1660</v>
          </cell>
          <cell r="F1613" t="str">
            <v>2.4.1.3.</v>
          </cell>
          <cell r="G1613" t="str">
            <v xml:space="preserve">Módulo vazado medindo 850 x 530 x 870 mm, provido de 01 painel de fundo, ref. VZ-850  </v>
          </cell>
          <cell r="H1613" t="str">
            <v xml:space="preserve">un    </v>
          </cell>
          <cell r="I1613">
            <v>1</v>
          </cell>
          <cell r="J1613">
            <v>300.41000000000003</v>
          </cell>
          <cell r="K1613">
            <v>429.16</v>
          </cell>
          <cell r="L1613">
            <v>300.41000000000003</v>
          </cell>
        </row>
        <row r="1614">
          <cell r="D1614" t="str">
            <v xml:space="preserve">  I. 85.            </v>
          </cell>
          <cell r="E1614" t="str">
            <v>CP1495</v>
          </cell>
          <cell r="F1614" t="str">
            <v>2.4.1.4.</v>
          </cell>
          <cell r="G1614" t="str">
            <v xml:space="preserve">Módulo inferior medindo 1000 x 530 x 870 mm, provido de 02 portas, 01 prateleira e 02 gavetas, ref. PG-1000  </v>
          </cell>
          <cell r="H1614" t="str">
            <v xml:space="preserve">un    </v>
          </cell>
          <cell r="I1614">
            <v>5</v>
          </cell>
          <cell r="J1614">
            <v>1441.67</v>
          </cell>
          <cell r="K1614">
            <v>1203.17</v>
          </cell>
          <cell r="L1614">
            <v>7208.35</v>
          </cell>
        </row>
        <row r="1615">
          <cell r="D1615" t="str">
            <v xml:space="preserve">  I. 86.            </v>
          </cell>
          <cell r="E1615" t="str">
            <v>CP1759</v>
          </cell>
          <cell r="F1615" t="str">
            <v>2.4.1.5.</v>
          </cell>
          <cell r="G1615" t="str">
            <v xml:space="preserve">Painel de acabamento medindo 110 x 870 mm, para fechamento lateral, ref. PF-110  </v>
          </cell>
          <cell r="H1615" t="str">
            <v xml:space="preserve">un    </v>
          </cell>
          <cell r="I1615">
            <v>1</v>
          </cell>
          <cell r="J1615">
            <v>114.53</v>
          </cell>
          <cell r="K1615">
            <v>137.94</v>
          </cell>
          <cell r="L1615">
            <v>114.53</v>
          </cell>
        </row>
        <row r="1616">
          <cell r="D1616" t="str">
            <v xml:space="preserve">  I. 87.            </v>
          </cell>
          <cell r="E1616" t="str">
            <v>CP1579</v>
          </cell>
          <cell r="F1616" t="str">
            <v>2.4.1.6.</v>
          </cell>
          <cell r="G1616" t="str">
            <v xml:space="preserve">Válvula com registro de bloqueio para gás GLP, montada sobre pedestal, composta de bico escalonado reto em latão cromado, Ref.: DS - 8030 GL  </v>
          </cell>
          <cell r="H1616" t="str">
            <v xml:space="preserve">un    </v>
          </cell>
          <cell r="I1616">
            <v>3</v>
          </cell>
          <cell r="J1616">
            <v>753.17</v>
          </cell>
          <cell r="K1616">
            <v>1385.12</v>
          </cell>
          <cell r="L1616">
            <v>2259.5100000000002</v>
          </cell>
        </row>
        <row r="1617">
          <cell r="D1617" t="str">
            <v xml:space="preserve">  I. 88.            </v>
          </cell>
          <cell r="E1617" t="str">
            <v>CP4502</v>
          </cell>
          <cell r="F1617" t="str">
            <v>2.4.1.7.</v>
          </cell>
          <cell r="G1617" t="str">
            <v xml:space="preserve">Conjunto de tomada 110/220 volts, montada em caixa de PVC sobre o tampo, Ref.: TOB 110/220  </v>
          </cell>
          <cell r="H1617" t="str">
            <v xml:space="preserve">un    </v>
          </cell>
          <cell r="I1617">
            <v>3</v>
          </cell>
          <cell r="J1617">
            <v>219.94</v>
          </cell>
          <cell r="K1617">
            <v>314.2</v>
          </cell>
          <cell r="L1617">
            <v>659.82</v>
          </cell>
        </row>
        <row r="1618">
          <cell r="D1618" t="str">
            <v xml:space="preserve">  I. 89.            </v>
          </cell>
          <cell r="E1618" t="str">
            <v xml:space="preserve">      </v>
          </cell>
          <cell r="F1618" t="str">
            <v>2.5.</v>
          </cell>
          <cell r="G1618" t="str">
            <v xml:space="preserve">Vidraria  </v>
          </cell>
          <cell r="H1618" t="str">
            <v xml:space="preserve">      </v>
          </cell>
          <cell r="I1618">
            <v>0</v>
          </cell>
          <cell r="J1618">
            <v>0</v>
          </cell>
          <cell r="K1618">
            <v>0</v>
          </cell>
          <cell r="L1618">
            <v>0</v>
          </cell>
        </row>
        <row r="1619">
          <cell r="D1619" t="str">
            <v xml:space="preserve">  I. 90.            </v>
          </cell>
          <cell r="E1619" t="str">
            <v xml:space="preserve">      </v>
          </cell>
          <cell r="F1619" t="str">
            <v>2.5.1.</v>
          </cell>
          <cell r="G1619" t="str">
            <v xml:space="preserve">Bancada lateral em J, medindo 7100 x 700 x 900 mm, composta de:  </v>
          </cell>
          <cell r="H1619" t="str">
            <v xml:space="preserve">      </v>
          </cell>
          <cell r="I1619">
            <v>0</v>
          </cell>
          <cell r="J1619">
            <v>0</v>
          </cell>
          <cell r="K1619">
            <v>0</v>
          </cell>
          <cell r="L1619">
            <v>0</v>
          </cell>
        </row>
        <row r="1620">
          <cell r="D1620" t="str">
            <v xml:space="preserve">  I. 91.            </v>
          </cell>
          <cell r="E1620" t="str">
            <v>CP1598</v>
          </cell>
          <cell r="F1620" t="str">
            <v>2.5.1.1.</v>
          </cell>
          <cell r="G1620" t="str">
            <v xml:space="preserve">Tampo construído em madeira de compensado tipo naval, com 30 mm de espessura revestido com laminado melamínico tx, medindo 700 mm de profundidade, ref. DS-0710  </v>
          </cell>
          <cell r="H1620" t="str">
            <v xml:space="preserve">m     </v>
          </cell>
          <cell r="I1620">
            <v>8</v>
          </cell>
          <cell r="J1620">
            <v>346.56</v>
          </cell>
          <cell r="K1620">
            <v>291.20999999999998</v>
          </cell>
          <cell r="L1620">
            <v>2772.48</v>
          </cell>
        </row>
        <row r="1621">
          <cell r="D1621" t="str">
            <v xml:space="preserve">  I. 92.            </v>
          </cell>
          <cell r="E1621" t="str">
            <v>CP1509</v>
          </cell>
          <cell r="F1621" t="str">
            <v>2.5.1.2.</v>
          </cell>
          <cell r="G1621" t="str">
            <v xml:space="preserve">Módulo inferior medindo 500 x 530 x 870 mm, provido de 01 porta e 01 gaveta, ref. PG-500  </v>
          </cell>
          <cell r="H1621" t="str">
            <v xml:space="preserve">un    </v>
          </cell>
          <cell r="I1621">
            <v>1</v>
          </cell>
          <cell r="J1621">
            <v>1041.6600000000001</v>
          </cell>
          <cell r="K1621">
            <v>873.64</v>
          </cell>
          <cell r="L1621">
            <v>1041.6600000000001</v>
          </cell>
        </row>
        <row r="1622">
          <cell r="D1622" t="str">
            <v xml:space="preserve">  I. 93.            </v>
          </cell>
          <cell r="E1622" t="str">
            <v>CP1526</v>
          </cell>
          <cell r="F1622" t="str">
            <v>2.5.1.3.</v>
          </cell>
          <cell r="G1622" t="str">
            <v xml:space="preserve">Módulo inferior medindo 1000 x 530 x 870 mm, provido de 02 portas e 01 prateleira, ref. PP-1000  </v>
          </cell>
          <cell r="H1622" t="str">
            <v xml:space="preserve">un    </v>
          </cell>
          <cell r="I1622">
            <v>3</v>
          </cell>
          <cell r="J1622">
            <v>968.14</v>
          </cell>
          <cell r="K1622">
            <v>1042.24</v>
          </cell>
          <cell r="L1622">
            <v>2904.42</v>
          </cell>
        </row>
        <row r="1623">
          <cell r="D1623" t="str">
            <v xml:space="preserve">  I. 94.            </v>
          </cell>
          <cell r="E1623" t="str">
            <v>CP1591</v>
          </cell>
          <cell r="F1623" t="str">
            <v>2.5.1.4.</v>
          </cell>
          <cell r="G1623" t="str">
            <v xml:space="preserve">Módulo inferior medindo 500 x 530 x 870 mm, provido de 01 porta e 01 prateleira, ref. PP-500  </v>
          </cell>
          <cell r="H1623" t="str">
            <v xml:space="preserve">un    </v>
          </cell>
          <cell r="I1623">
            <v>2</v>
          </cell>
          <cell r="J1623">
            <v>861.08</v>
          </cell>
          <cell r="K1623">
            <v>720.37</v>
          </cell>
          <cell r="L1623">
            <v>1722.16</v>
          </cell>
        </row>
        <row r="1624">
          <cell r="D1624" t="str">
            <v xml:space="preserve">  I. 95.            </v>
          </cell>
          <cell r="E1624" t="str">
            <v>CP1522</v>
          </cell>
          <cell r="F1624" t="str">
            <v>2.5.1.5.</v>
          </cell>
          <cell r="G1624" t="str">
            <v xml:space="preserve">Módulo inferior medindo 1100 x 530 x 870 mm, provido de 02 portas e 01 prateleira, ref. PP-1100  </v>
          </cell>
          <cell r="H1624" t="str">
            <v xml:space="preserve">un    </v>
          </cell>
          <cell r="I1624">
            <v>1</v>
          </cell>
          <cell r="J1624">
            <v>1277.0999999999999</v>
          </cell>
          <cell r="K1624">
            <v>1072.8900000000001</v>
          </cell>
          <cell r="L1624">
            <v>1277.0999999999999</v>
          </cell>
        </row>
        <row r="1625">
          <cell r="D1625" t="str">
            <v xml:space="preserve">  I. 96.            </v>
          </cell>
          <cell r="E1625" t="str">
            <v>CP1531</v>
          </cell>
          <cell r="F1625" t="str">
            <v>2.5.1.6.</v>
          </cell>
          <cell r="G1625" t="str">
            <v xml:space="preserve">Armário superior medindo 1000 x 300 x 600 mm provido de 02 portas e 01 prateleira, ref. SP-1000  </v>
          </cell>
          <cell r="H1625" t="str">
            <v xml:space="preserve">un    </v>
          </cell>
          <cell r="I1625">
            <v>4</v>
          </cell>
          <cell r="J1625">
            <v>968.16</v>
          </cell>
          <cell r="K1625">
            <v>988.59</v>
          </cell>
          <cell r="L1625">
            <v>3872.64</v>
          </cell>
        </row>
        <row r="1626">
          <cell r="D1626" t="str">
            <v xml:space="preserve">  I. 97.            </v>
          </cell>
          <cell r="E1626" t="str">
            <v>CP1539</v>
          </cell>
          <cell r="F1626" t="str">
            <v>2.5.1.7.</v>
          </cell>
          <cell r="G1626" t="str">
            <v xml:space="preserve">Armario superior medindo 900 x 300 x 600 mm, provido de 02 portas e 01 prateleira, ref. SP-900  </v>
          </cell>
          <cell r="H1626" t="str">
            <v xml:space="preserve">un    </v>
          </cell>
          <cell r="I1626">
            <v>3</v>
          </cell>
          <cell r="J1626">
            <v>968.14</v>
          </cell>
          <cell r="K1626">
            <v>965.6</v>
          </cell>
          <cell r="L1626">
            <v>2904.42</v>
          </cell>
        </row>
        <row r="1627">
          <cell r="D1627" t="str">
            <v xml:space="preserve">  I. 98.            </v>
          </cell>
          <cell r="E1627" t="str">
            <v>CP3010</v>
          </cell>
          <cell r="F1627" t="str">
            <v>2.5.1.8.</v>
          </cell>
          <cell r="G1627" t="str">
            <v xml:space="preserve">Conjunto de tomadas 220/380 volts montado em caixa de PVC sobre o tampo, ref. TOB 220/380  </v>
          </cell>
          <cell r="H1627" t="str">
            <v xml:space="preserve">un    </v>
          </cell>
          <cell r="I1627">
            <v>4</v>
          </cell>
          <cell r="J1627">
            <v>219.94</v>
          </cell>
          <cell r="K1627">
            <v>314.2</v>
          </cell>
          <cell r="L1627">
            <v>879.76</v>
          </cell>
        </row>
        <row r="1628">
          <cell r="D1628" t="str">
            <v xml:space="preserve">  I. 99.            </v>
          </cell>
          <cell r="E1628" t="str">
            <v xml:space="preserve">      </v>
          </cell>
          <cell r="F1628" t="str">
            <v>2.6.</v>
          </cell>
          <cell r="G1628" t="str">
            <v xml:space="preserve">Micro II  </v>
          </cell>
          <cell r="H1628" t="str">
            <v xml:space="preserve">      </v>
          </cell>
          <cell r="I1628">
            <v>0</v>
          </cell>
          <cell r="J1628">
            <v>0</v>
          </cell>
          <cell r="K1628">
            <v>0</v>
          </cell>
          <cell r="L1628">
            <v>0</v>
          </cell>
        </row>
        <row r="1629">
          <cell r="D1629" t="str">
            <v xml:space="preserve">  I.100.            </v>
          </cell>
          <cell r="E1629" t="str">
            <v xml:space="preserve">      </v>
          </cell>
          <cell r="F1629" t="str">
            <v>2.6.1.</v>
          </cell>
          <cell r="G1629" t="str">
            <v xml:space="preserve">Bancada lat. em C, medindo 500 x 700 x 750, composta de:  </v>
          </cell>
          <cell r="H1629" t="str">
            <v xml:space="preserve">      </v>
          </cell>
          <cell r="I1629">
            <v>0</v>
          </cell>
          <cell r="J1629">
            <v>0</v>
          </cell>
          <cell r="K1629">
            <v>0</v>
          </cell>
          <cell r="L1629">
            <v>0</v>
          </cell>
        </row>
        <row r="1630">
          <cell r="D1630" t="str">
            <v xml:space="preserve">  I.101.            </v>
          </cell>
          <cell r="E1630" t="str">
            <v>CP1598</v>
          </cell>
          <cell r="F1630" t="str">
            <v>2.6.1.1.</v>
          </cell>
          <cell r="G1630" t="str">
            <v xml:space="preserve">Tampo construído em madeira de compensado tipo naval, com 30 mm de espessura, revestido com laminado melamínico tx, medindo 700 mm de profundidade, ref. DS-0710  </v>
          </cell>
          <cell r="H1630" t="str">
            <v xml:space="preserve">m     </v>
          </cell>
          <cell r="I1630">
            <v>5</v>
          </cell>
          <cell r="J1630">
            <v>346.56</v>
          </cell>
          <cell r="K1630">
            <v>370.91</v>
          </cell>
          <cell r="L1630">
            <v>1732.8</v>
          </cell>
        </row>
        <row r="1631">
          <cell r="D1631" t="str">
            <v xml:space="preserve">  I.102.            </v>
          </cell>
          <cell r="E1631" t="str">
            <v>CP1532</v>
          </cell>
          <cell r="F1631" t="str">
            <v>2.6.1.2.</v>
          </cell>
          <cell r="G1631" t="str">
            <v xml:space="preserve">Módulo inferior medindo 500 x 530 x 720 mm, provido de 04 gavetas, ref. GV-500 M  </v>
          </cell>
          <cell r="H1631" t="str">
            <v xml:space="preserve">un    </v>
          </cell>
          <cell r="I1631">
            <v>2</v>
          </cell>
          <cell r="J1631">
            <v>1008.52</v>
          </cell>
          <cell r="K1631">
            <v>1440.74</v>
          </cell>
          <cell r="L1631">
            <v>2017.04</v>
          </cell>
        </row>
        <row r="1632">
          <cell r="D1632" t="str">
            <v xml:space="preserve">  I.103.            </v>
          </cell>
          <cell r="E1632" t="str">
            <v>CP1460</v>
          </cell>
          <cell r="F1632" t="str">
            <v>2.6.1.3.</v>
          </cell>
          <cell r="G1632" t="str">
            <v xml:space="preserve">Módulo inf. medindo 1000 x 530 x 720 mm, provido de 04 gavetas, sendo 02 pequenas para pasta suspensa, ref. PS-1000 M  </v>
          </cell>
          <cell r="H1632" t="str">
            <v xml:space="preserve">un    </v>
          </cell>
          <cell r="I1632">
            <v>1</v>
          </cell>
          <cell r="J1632">
            <v>2247.9899999999998</v>
          </cell>
          <cell r="K1632">
            <v>1885.22</v>
          </cell>
          <cell r="L1632">
            <v>2247.9899999999998</v>
          </cell>
        </row>
        <row r="1633">
          <cell r="D1633" t="str">
            <v xml:space="preserve">  I.104.            </v>
          </cell>
          <cell r="E1633" t="str">
            <v>CP1594</v>
          </cell>
          <cell r="F1633" t="str">
            <v>2.6.1.4.</v>
          </cell>
          <cell r="G1633" t="str">
            <v xml:space="preserve">Módulo vazado medindo 1400 x 530 x 720 mm, provido de 01 painel de fundo, ref. VZ-1400 E  </v>
          </cell>
          <cell r="H1633" t="str">
            <v xml:space="preserve">un    </v>
          </cell>
          <cell r="I1633">
            <v>2</v>
          </cell>
          <cell r="J1633">
            <v>504.65</v>
          </cell>
          <cell r="K1633">
            <v>475.14</v>
          </cell>
          <cell r="L1633">
            <v>1009.3</v>
          </cell>
        </row>
        <row r="1634">
          <cell r="D1634" t="str">
            <v xml:space="preserve">  I.105.            </v>
          </cell>
          <cell r="E1634" t="str">
            <v>CP1642</v>
          </cell>
          <cell r="F1634" t="str">
            <v>2.6.1.5.</v>
          </cell>
          <cell r="G1634" t="str">
            <v xml:space="preserve">Painel de acabamento medindo 2000 x 720 mm, para fechamento trazeiro, ref. PF-2000 M  </v>
          </cell>
          <cell r="H1634" t="str">
            <v xml:space="preserve">un    </v>
          </cell>
          <cell r="I1634">
            <v>1</v>
          </cell>
          <cell r="J1634">
            <v>164.88</v>
          </cell>
          <cell r="K1634">
            <v>137.94</v>
          </cell>
          <cell r="L1634">
            <v>164.88</v>
          </cell>
        </row>
        <row r="1635">
          <cell r="D1635" t="str">
            <v xml:space="preserve">  I.106.            </v>
          </cell>
          <cell r="E1635" t="str">
            <v>CP1759</v>
          </cell>
          <cell r="F1635" t="str">
            <v>2.6.1.6.</v>
          </cell>
          <cell r="G1635" t="str">
            <v xml:space="preserve">Painel de acabamento medindo 110 x 870 mm, para fechamento lateral, ref. PF-110  </v>
          </cell>
          <cell r="H1635" t="str">
            <v xml:space="preserve">un    </v>
          </cell>
          <cell r="I1635">
            <v>1</v>
          </cell>
          <cell r="J1635">
            <v>114.53</v>
          </cell>
          <cell r="K1635">
            <v>314.2</v>
          </cell>
          <cell r="L1635">
            <v>114.53</v>
          </cell>
        </row>
        <row r="1636">
          <cell r="D1636" t="str">
            <v xml:space="preserve">  I.107.            </v>
          </cell>
          <cell r="E1636" t="str">
            <v>CP3010</v>
          </cell>
          <cell r="F1636" t="str">
            <v>2.6.1.7.</v>
          </cell>
          <cell r="G1636" t="str">
            <v xml:space="preserve">Conjunto de tomada 220/380 volts montada em caixa de PVC sobre o tampo, ref. TOB 220/380  </v>
          </cell>
          <cell r="H1636" t="str">
            <v xml:space="preserve">un    </v>
          </cell>
          <cell r="I1636">
            <v>3</v>
          </cell>
          <cell r="J1636">
            <v>219.94</v>
          </cell>
          <cell r="K1636">
            <v>314.2</v>
          </cell>
          <cell r="L1636">
            <v>659.82</v>
          </cell>
        </row>
        <row r="1637">
          <cell r="D1637" t="str">
            <v xml:space="preserve">  I.108.            </v>
          </cell>
          <cell r="E1637" t="str">
            <v xml:space="preserve">      </v>
          </cell>
          <cell r="F1637" t="str">
            <v>2.7.</v>
          </cell>
          <cell r="G1637" t="str">
            <v xml:space="preserve">Micro III  </v>
          </cell>
          <cell r="H1637" t="str">
            <v xml:space="preserve">      </v>
          </cell>
          <cell r="I1637">
            <v>0</v>
          </cell>
          <cell r="J1637">
            <v>0</v>
          </cell>
          <cell r="K1637">
            <v>0</v>
          </cell>
          <cell r="L1637">
            <v>0</v>
          </cell>
        </row>
        <row r="1638">
          <cell r="D1638" t="str">
            <v xml:space="preserve">  I.109.            </v>
          </cell>
          <cell r="E1638" t="str">
            <v xml:space="preserve">      </v>
          </cell>
          <cell r="F1638" t="str">
            <v>2.7.1.</v>
          </cell>
          <cell r="G1638" t="str">
            <v xml:space="preserve">Bancada lateral, medindo 6900 x 700 x 750 mm, composta de:  </v>
          </cell>
          <cell r="H1638" t="str">
            <v xml:space="preserve">      </v>
          </cell>
          <cell r="I1638">
            <v>0</v>
          </cell>
          <cell r="J1638">
            <v>0</v>
          </cell>
          <cell r="K1638">
            <v>0</v>
          </cell>
          <cell r="L1638">
            <v>0</v>
          </cell>
        </row>
        <row r="1639">
          <cell r="D1639" t="str">
            <v xml:space="preserve">  I.110.            </v>
          </cell>
          <cell r="E1639" t="str">
            <v>CP1598</v>
          </cell>
          <cell r="F1639" t="str">
            <v>2.7.1.1.</v>
          </cell>
          <cell r="G1639" t="str">
            <v xml:space="preserve">Tampo construído em madeira de compensado tipo naval, com 30 mm de espessura, revestido com laminado melamínico tx, medindo 700 mm de profundidade, ref. DS-0710  </v>
          </cell>
          <cell r="H1639" t="str">
            <v xml:space="preserve">m     </v>
          </cell>
          <cell r="I1639">
            <v>7</v>
          </cell>
          <cell r="J1639">
            <v>346.56</v>
          </cell>
          <cell r="K1639">
            <v>321.87</v>
          </cell>
          <cell r="L1639">
            <v>2425.92</v>
          </cell>
        </row>
        <row r="1640">
          <cell r="D1640" t="str">
            <v xml:space="preserve">  I.111.            </v>
          </cell>
          <cell r="E1640" t="str">
            <v>CP1532</v>
          </cell>
          <cell r="F1640" t="str">
            <v>2.7.1.2.</v>
          </cell>
          <cell r="G1640" t="str">
            <v xml:space="preserve">Módulo inferior medindo 500 x 530 x 720 mm, provido de 04 gavetas, ref. GV-500 M  </v>
          </cell>
          <cell r="H1640" t="str">
            <v xml:space="preserve">un    </v>
          </cell>
          <cell r="I1640">
            <v>2</v>
          </cell>
          <cell r="J1640">
            <v>1008.52</v>
          </cell>
          <cell r="K1640">
            <v>1440.74</v>
          </cell>
          <cell r="L1640">
            <v>2017.04</v>
          </cell>
        </row>
        <row r="1641">
          <cell r="D1641" t="str">
            <v xml:space="preserve">  I.112.            </v>
          </cell>
          <cell r="E1641" t="str">
            <v>CP1519</v>
          </cell>
          <cell r="F1641" t="str">
            <v>2.7.1.3.</v>
          </cell>
          <cell r="G1641" t="str">
            <v xml:space="preserve">Módulo inferior medindo 500 x 530 x 720 mm, provido de 01 porta e 01 gaveta, ref. PG-500 M  </v>
          </cell>
          <cell r="H1641" t="str">
            <v xml:space="preserve">un    </v>
          </cell>
          <cell r="I1641">
            <v>1</v>
          </cell>
          <cell r="J1641">
            <v>951.98</v>
          </cell>
          <cell r="K1641">
            <v>873.64</v>
          </cell>
          <cell r="L1641">
            <v>951.98</v>
          </cell>
        </row>
        <row r="1642">
          <cell r="D1642" t="str">
            <v xml:space="preserve">  I.113.            </v>
          </cell>
          <cell r="E1642" t="str">
            <v>CP1460</v>
          </cell>
          <cell r="F1642" t="str">
            <v>2.7.1.4.</v>
          </cell>
          <cell r="G1642" t="str">
            <v xml:space="preserve">Módulo inferior medindo 1000 x 530 x 720 mm, provido de 04 gavetas, sendo 02 pequenas e 02 para pastas suspensas, ref. PS-1000 M  </v>
          </cell>
          <cell r="H1642" t="str">
            <v xml:space="preserve">un    </v>
          </cell>
          <cell r="I1642">
            <v>1</v>
          </cell>
          <cell r="J1642">
            <v>2247.9899999999998</v>
          </cell>
          <cell r="K1642">
            <v>1885.22</v>
          </cell>
          <cell r="L1642">
            <v>2247.9899999999998</v>
          </cell>
        </row>
        <row r="1643">
          <cell r="D1643" t="str">
            <v xml:space="preserve">  I.114.            </v>
          </cell>
          <cell r="E1643" t="str">
            <v>CP1594</v>
          </cell>
          <cell r="F1643" t="str">
            <v>2.7.1.5.</v>
          </cell>
          <cell r="G1643" t="str">
            <v xml:space="preserve">Módulo vazado medindo 1400 x 530 x 720 mm, provido de 01 painel de fundo, ref. VZ-1400 E  </v>
          </cell>
          <cell r="H1643" t="str">
            <v xml:space="preserve">un    </v>
          </cell>
          <cell r="I1643">
            <v>3</v>
          </cell>
          <cell r="J1643">
            <v>504.65</v>
          </cell>
          <cell r="K1643">
            <v>475.14</v>
          </cell>
          <cell r="L1643">
            <v>1513.95</v>
          </cell>
        </row>
        <row r="1644">
          <cell r="D1644" t="str">
            <v xml:space="preserve">  I.115.            </v>
          </cell>
          <cell r="E1644" t="str">
            <v>CP1607</v>
          </cell>
          <cell r="F1644" t="str">
            <v>2.7.1.6.</v>
          </cell>
          <cell r="G1644" t="str">
            <v xml:space="preserve">Painel de acabamento medindo 2000 x 720 mm, para fechamento trazeiro, ref. PF-2000  </v>
          </cell>
          <cell r="H1644" t="str">
            <v xml:space="preserve">un    </v>
          </cell>
          <cell r="I1644">
            <v>1</v>
          </cell>
          <cell r="J1644">
            <v>456.33</v>
          </cell>
          <cell r="K1644">
            <v>628.41</v>
          </cell>
          <cell r="L1644">
            <v>456.33</v>
          </cell>
        </row>
        <row r="1645">
          <cell r="D1645" t="str">
            <v xml:space="preserve">  I.116.            </v>
          </cell>
          <cell r="E1645" t="str">
            <v>CP3010</v>
          </cell>
          <cell r="F1645" t="str">
            <v>2.7.1.7.</v>
          </cell>
          <cell r="G1645" t="str">
            <v xml:space="preserve">Conjunto de tomadas 220/380 volts montado em caixa de PVC sobre o tampo, ref. TOB 220/380  </v>
          </cell>
          <cell r="H1645" t="str">
            <v xml:space="preserve">un    </v>
          </cell>
          <cell r="I1645">
            <v>5</v>
          </cell>
          <cell r="J1645">
            <v>219.94</v>
          </cell>
          <cell r="K1645">
            <v>314.2</v>
          </cell>
          <cell r="L1645">
            <v>1099.7</v>
          </cell>
        </row>
        <row r="1646">
          <cell r="D1646" t="str">
            <v xml:space="preserve">  I.117.            </v>
          </cell>
          <cell r="E1646" t="str">
            <v xml:space="preserve">      </v>
          </cell>
          <cell r="F1646" t="str">
            <v>2.8.</v>
          </cell>
          <cell r="G1646" t="str">
            <v xml:space="preserve">Laboratório  </v>
          </cell>
          <cell r="H1646" t="str">
            <v xml:space="preserve">      </v>
          </cell>
          <cell r="I1646">
            <v>0</v>
          </cell>
          <cell r="J1646">
            <v>0</v>
          </cell>
          <cell r="K1646">
            <v>0</v>
          </cell>
          <cell r="L1646">
            <v>0</v>
          </cell>
        </row>
        <row r="1647">
          <cell r="D1647" t="str">
            <v xml:space="preserve">  I.118.            </v>
          </cell>
          <cell r="E1647" t="str">
            <v xml:space="preserve">      </v>
          </cell>
          <cell r="F1647" t="str">
            <v>2.8.1.</v>
          </cell>
          <cell r="G1647" t="str">
            <v xml:space="preserve">Bancada lateral linear medindo 7500 x 700 x 900 mm, composta de:  </v>
          </cell>
          <cell r="H1647" t="str">
            <v xml:space="preserve">      </v>
          </cell>
          <cell r="I1647">
            <v>0</v>
          </cell>
          <cell r="J1647">
            <v>0</v>
          </cell>
          <cell r="K1647">
            <v>0</v>
          </cell>
          <cell r="L1647">
            <v>0</v>
          </cell>
        </row>
        <row r="1648">
          <cell r="D1648" t="str">
            <v xml:space="preserve">  I.119.            </v>
          </cell>
          <cell r="E1648" t="str">
            <v>CP1570</v>
          </cell>
          <cell r="F1648" t="str">
            <v>2.8.1.1.</v>
          </cell>
          <cell r="G1648" t="str">
            <v xml:space="preserve">Tampo em granito polido com 30 mm de espessura e 700 m de profundidade, ref. DS-0730  </v>
          </cell>
          <cell r="H1648" t="str">
            <v xml:space="preserve">m     </v>
          </cell>
          <cell r="I1648">
            <v>8</v>
          </cell>
          <cell r="J1648">
            <v>523.44000000000005</v>
          </cell>
          <cell r="K1648">
            <v>559.44000000000005</v>
          </cell>
          <cell r="L1648">
            <v>4187.5200000000004</v>
          </cell>
        </row>
        <row r="1649">
          <cell r="D1649" t="str">
            <v xml:space="preserve">  I.120.            </v>
          </cell>
          <cell r="E1649" t="str">
            <v>CP1495</v>
          </cell>
          <cell r="F1649" t="str">
            <v>2.8.1.2.</v>
          </cell>
          <cell r="G1649" t="str">
            <v xml:space="preserve">Módulo inferior medindo 1000 x 530 x 870 mm, provido de 02 portas, 01 prateleira e 02 gavetas, ref. PG-1000  </v>
          </cell>
          <cell r="H1649" t="str">
            <v xml:space="preserve">un    </v>
          </cell>
          <cell r="I1649">
            <v>5</v>
          </cell>
          <cell r="J1649">
            <v>1441.67</v>
          </cell>
          <cell r="K1649">
            <v>1203.17</v>
          </cell>
          <cell r="L1649">
            <v>7208.35</v>
          </cell>
        </row>
        <row r="1650">
          <cell r="D1650" t="str">
            <v xml:space="preserve">  I.121.            </v>
          </cell>
          <cell r="E1650" t="str">
            <v>CP1538</v>
          </cell>
          <cell r="F1650" t="str">
            <v>2.8.1.3.</v>
          </cell>
          <cell r="G1650" t="str">
            <v xml:space="preserve">Módulo inferior para cuba, medindo 1000 x 570 x 870 mm, provido de 02 portas, ref. FP-1000  </v>
          </cell>
          <cell r="H1650" t="str">
            <v xml:space="preserve">un    </v>
          </cell>
          <cell r="I1650">
            <v>1</v>
          </cell>
          <cell r="J1650">
            <v>917.54</v>
          </cell>
          <cell r="K1650">
            <v>1042.24</v>
          </cell>
          <cell r="L1650">
            <v>917.54</v>
          </cell>
        </row>
        <row r="1651">
          <cell r="D1651" t="str">
            <v xml:space="preserve">  I.122.            </v>
          </cell>
          <cell r="E1651" t="str">
            <v>CP1759</v>
          </cell>
          <cell r="F1651" t="str">
            <v>2.8.1.4.</v>
          </cell>
          <cell r="G1651" t="str">
            <v xml:space="preserve">Painel de acabamento medindo 110 x 870 mm, para fechamento lateral, ref. PF-110  </v>
          </cell>
          <cell r="H1651" t="str">
            <v xml:space="preserve">un    </v>
          </cell>
          <cell r="I1651">
            <v>1</v>
          </cell>
          <cell r="J1651">
            <v>114.53</v>
          </cell>
          <cell r="K1651">
            <v>137.94</v>
          </cell>
          <cell r="L1651">
            <v>114.53</v>
          </cell>
        </row>
        <row r="1652">
          <cell r="D1652" t="str">
            <v xml:space="preserve">  I.123.            </v>
          </cell>
          <cell r="E1652" t="str">
            <v>CP1580</v>
          </cell>
          <cell r="F1652" t="str">
            <v>2.8.1.5.</v>
          </cell>
          <cell r="G1652" t="str">
            <v xml:space="preserve">Painel de acabamento medindo 2700 x 870 mm, para fechamento trazeiro, ref. PF-2700  </v>
          </cell>
          <cell r="H1652" t="str">
            <v xml:space="preserve">un    </v>
          </cell>
          <cell r="I1652">
            <v>1</v>
          </cell>
          <cell r="J1652">
            <v>601.13</v>
          </cell>
          <cell r="K1652">
            <v>659.06</v>
          </cell>
          <cell r="L1652">
            <v>601.13</v>
          </cell>
        </row>
        <row r="1653">
          <cell r="D1653" t="str">
            <v xml:space="preserve">  I.124.            </v>
          </cell>
          <cell r="E1653" t="str">
            <v>CP1529</v>
          </cell>
          <cell r="F1653" t="str">
            <v>2.8.1.6.</v>
          </cell>
          <cell r="G1653" t="str">
            <v xml:space="preserve">Cuba em aço inox AISI-304 medindo 500 x 400 x 250 mm, ref. DS-6025  </v>
          </cell>
          <cell r="H1653" t="str">
            <v xml:space="preserve">un    </v>
          </cell>
          <cell r="I1653">
            <v>1</v>
          </cell>
          <cell r="J1653">
            <v>863.87</v>
          </cell>
          <cell r="K1653">
            <v>720.37</v>
          </cell>
          <cell r="L1653">
            <v>863.87</v>
          </cell>
        </row>
        <row r="1654">
          <cell r="D1654" t="str">
            <v xml:space="preserve">  I.125.            </v>
          </cell>
          <cell r="E1654" t="str">
            <v>CP1708</v>
          </cell>
          <cell r="F1654" t="str">
            <v>2.8.1.7.</v>
          </cell>
          <cell r="G1654" t="str">
            <v xml:space="preserve">Válvula americana construída em aço inox, medindo 3 1/2 (Dreno)  </v>
          </cell>
          <cell r="H1654" t="str">
            <v xml:space="preserve">un    </v>
          </cell>
          <cell r="I1654">
            <v>1</v>
          </cell>
          <cell r="J1654">
            <v>63.85</v>
          </cell>
          <cell r="K1654">
            <v>53.64</v>
          </cell>
          <cell r="L1654">
            <v>63.85</v>
          </cell>
        </row>
        <row r="1655">
          <cell r="D1655" t="str">
            <v xml:space="preserve">  I.126.            </v>
          </cell>
          <cell r="E1655" t="str">
            <v>CP1554</v>
          </cell>
          <cell r="F1655" t="str">
            <v>2.8.1.8.</v>
          </cell>
          <cell r="G1655" t="str">
            <v xml:space="preserve">Válvula com registro de bloqueio em latão cromado, montada em pedestal, composta de nuca fixa e bico escalonado para Água Potável, ref. DS-8530 AF  </v>
          </cell>
          <cell r="H1655" t="str">
            <v xml:space="preserve">un    </v>
          </cell>
          <cell r="I1655">
            <v>1</v>
          </cell>
          <cell r="J1655">
            <v>720.17</v>
          </cell>
          <cell r="K1655">
            <v>919.62</v>
          </cell>
          <cell r="L1655">
            <v>720.17</v>
          </cell>
        </row>
        <row r="1656">
          <cell r="D1656" t="str">
            <v xml:space="preserve">  I.127.            </v>
          </cell>
          <cell r="E1656" t="str">
            <v>CP3010</v>
          </cell>
          <cell r="F1656" t="str">
            <v>2.8.1.9.</v>
          </cell>
          <cell r="G1656" t="str">
            <v xml:space="preserve">Conjunto de tomada 220/380 volts montada em caixa de PVC sobre o tampo, ref. TOB 220/380  </v>
          </cell>
          <cell r="H1656" t="str">
            <v xml:space="preserve">un    </v>
          </cell>
          <cell r="I1656">
            <v>5</v>
          </cell>
          <cell r="J1656">
            <v>219.94</v>
          </cell>
          <cell r="K1656">
            <v>314.2</v>
          </cell>
          <cell r="L1656">
            <v>1099.7</v>
          </cell>
        </row>
        <row r="1657">
          <cell r="D1657" t="str">
            <v xml:space="preserve">  I.128.            </v>
          </cell>
          <cell r="E1657" t="str">
            <v xml:space="preserve">      </v>
          </cell>
          <cell r="F1657" t="str">
            <v>2.9.</v>
          </cell>
          <cell r="G1657" t="str">
            <v xml:space="preserve">Escritório  </v>
          </cell>
          <cell r="H1657" t="str">
            <v xml:space="preserve">      </v>
          </cell>
          <cell r="I1657">
            <v>0</v>
          </cell>
          <cell r="J1657">
            <v>0</v>
          </cell>
          <cell r="K1657">
            <v>0</v>
          </cell>
          <cell r="L1657">
            <v>0</v>
          </cell>
        </row>
        <row r="1658">
          <cell r="D1658" t="str">
            <v xml:space="preserve">  I.129.            </v>
          </cell>
          <cell r="E1658" t="str">
            <v xml:space="preserve">      </v>
          </cell>
          <cell r="F1658" t="str">
            <v>2.9.1.</v>
          </cell>
          <cell r="G1658" t="str">
            <v xml:space="preserve">Bancada em L, medindo 2580 x 700 x 750 mm, composta de:  </v>
          </cell>
          <cell r="H1658" t="str">
            <v xml:space="preserve">      </v>
          </cell>
          <cell r="I1658">
            <v>0</v>
          </cell>
          <cell r="J1658">
            <v>0</v>
          </cell>
          <cell r="K1658">
            <v>0</v>
          </cell>
          <cell r="L1658">
            <v>0</v>
          </cell>
        </row>
        <row r="1659">
          <cell r="D1659" t="str">
            <v xml:space="preserve">  I.130.            </v>
          </cell>
          <cell r="E1659" t="str">
            <v>CP1598</v>
          </cell>
          <cell r="F1659" t="str">
            <v>2.9.1.1.</v>
          </cell>
          <cell r="G1659" t="str">
            <v xml:space="preserve">Tampo construído em madeira de compensado tipo naval, com 30 mm de espessura, revestido com laminado melamínico tx, medindo 700 mm de profundidade, ref. DS-0710  </v>
          </cell>
          <cell r="H1659" t="str">
            <v xml:space="preserve">m     </v>
          </cell>
          <cell r="I1659">
            <v>3</v>
          </cell>
          <cell r="J1659">
            <v>346.56</v>
          </cell>
          <cell r="K1659">
            <v>455.21</v>
          </cell>
          <cell r="L1659">
            <v>1039.68</v>
          </cell>
        </row>
        <row r="1660">
          <cell r="D1660" t="str">
            <v xml:space="preserve">  I.131.            </v>
          </cell>
          <cell r="E1660" t="str">
            <v>CP3651</v>
          </cell>
          <cell r="F1660" t="str">
            <v>2.9.1.2.</v>
          </cell>
          <cell r="G1660" t="str">
            <v xml:space="preserve">Módulo vazado medindo 850 x 530 x 720, provido de 01 painel de fundo, ref. VZ-850 M  </v>
          </cell>
          <cell r="H1660" t="str">
            <v xml:space="preserve">m     </v>
          </cell>
          <cell r="I1660">
            <v>1</v>
          </cell>
          <cell r="J1660">
            <v>300.41000000000003</v>
          </cell>
          <cell r="K1660">
            <v>429.16</v>
          </cell>
          <cell r="L1660">
            <v>300.41000000000003</v>
          </cell>
        </row>
        <row r="1661">
          <cell r="D1661" t="str">
            <v xml:space="preserve">  I.132.            </v>
          </cell>
          <cell r="E1661" t="str">
            <v>CP1516</v>
          </cell>
          <cell r="F1661" t="str">
            <v>2.9.1.3.</v>
          </cell>
          <cell r="G1661" t="str">
            <v xml:space="preserve">Módulo inferior medindo 500 x 530 x 720 mm, provido de 02 gavetas, sendo 01 pequena e 01 para pasta suspensa, ref. PS-500 M  </v>
          </cell>
          <cell r="H1661" t="str">
            <v xml:space="preserve">un    </v>
          </cell>
          <cell r="I1661">
            <v>1</v>
          </cell>
          <cell r="J1661">
            <v>1192.79</v>
          </cell>
          <cell r="K1661">
            <v>1440.74</v>
          </cell>
          <cell r="L1661">
            <v>1192.79</v>
          </cell>
        </row>
        <row r="1662">
          <cell r="D1662" t="str">
            <v xml:space="preserve">  I.133.            </v>
          </cell>
          <cell r="E1662" t="str">
            <v>CP1683</v>
          </cell>
          <cell r="F1662" t="str">
            <v>2.9.1.4.</v>
          </cell>
          <cell r="G1662" t="str">
            <v xml:space="preserve">Painel de acionamento medindo 430 x 720 mm, para fechamento lateral, ref. PF-430  </v>
          </cell>
          <cell r="H1662" t="str">
            <v xml:space="preserve">un    </v>
          </cell>
          <cell r="I1662">
            <v>1</v>
          </cell>
          <cell r="J1662">
            <v>183.49</v>
          </cell>
          <cell r="K1662">
            <v>245.23</v>
          </cell>
          <cell r="L1662">
            <v>183.49</v>
          </cell>
        </row>
        <row r="1663">
          <cell r="D1663" t="str">
            <v xml:space="preserve">  I.134.            </v>
          </cell>
          <cell r="E1663" t="str">
            <v>CP1621</v>
          </cell>
          <cell r="F1663" t="str">
            <v>2.9.1.5.</v>
          </cell>
          <cell r="G1663" t="str">
            <v xml:space="preserve">Painel de acabamento medindo 1550 x 720 mm, para fechamento trazeiro, ref. PF-1550 M  </v>
          </cell>
          <cell r="H1663" t="str">
            <v xml:space="preserve">un    </v>
          </cell>
          <cell r="I1663">
            <v>1</v>
          </cell>
          <cell r="J1663">
            <v>394.24</v>
          </cell>
          <cell r="K1663">
            <v>475.14</v>
          </cell>
          <cell r="L1663">
            <v>394.24</v>
          </cell>
        </row>
        <row r="1664">
          <cell r="D1664" t="str">
            <v xml:space="preserve">  I.135.            </v>
          </cell>
          <cell r="E1664" t="str">
            <v>CP3010</v>
          </cell>
          <cell r="F1664" t="str">
            <v>2.9.1.6.</v>
          </cell>
          <cell r="G1664" t="str">
            <v xml:space="preserve">Conjunto de tomadas 220/380 volts montado em caixa de PVC sobre o tampo, ref. TOB 220/380  </v>
          </cell>
          <cell r="H1664" t="str">
            <v xml:space="preserve">un    </v>
          </cell>
          <cell r="I1664">
            <v>2</v>
          </cell>
          <cell r="J1664">
            <v>219.94</v>
          </cell>
          <cell r="K1664">
            <v>314.2</v>
          </cell>
          <cell r="L1664">
            <v>439.88</v>
          </cell>
        </row>
        <row r="1665">
          <cell r="D1665" t="str">
            <v xml:space="preserve">  I.136.            </v>
          </cell>
          <cell r="E1665" t="str">
            <v>CP1456</v>
          </cell>
          <cell r="F1665" t="str">
            <v>2.9.2.</v>
          </cell>
          <cell r="G1665" t="str">
            <v xml:space="preserve">Armário especial medindo 1000 x 530 x 2000 mm, composto de: - Armário inferior provido de 01 prateleira, Armário sup., provido de 02 portas de vidro e 0l prateleira, Prateleira suspensa, fixa por mãos francesa, ref. AE-1000  </v>
          </cell>
          <cell r="H1665" t="str">
            <v xml:space="preserve">un    </v>
          </cell>
          <cell r="I1665">
            <v>1</v>
          </cell>
          <cell r="J1665">
            <v>2339.7399999999998</v>
          </cell>
          <cell r="K1665">
            <v>2666.9</v>
          </cell>
          <cell r="L1665">
            <v>2339.7399999999998</v>
          </cell>
        </row>
        <row r="1666">
          <cell r="D1666" t="str">
            <v xml:space="preserve">  J.  1.            </v>
          </cell>
          <cell r="E1666" t="str">
            <v xml:space="preserve">      </v>
          </cell>
          <cell r="F1666" t="str">
            <v>0.X.</v>
          </cell>
          <cell r="G1666" t="str">
            <v xml:space="preserve">CAIXAS, MANHOLES E PV'S  </v>
          </cell>
          <cell r="H1666" t="str">
            <v xml:space="preserve">      </v>
          </cell>
          <cell r="I1666">
            <v>0</v>
          </cell>
          <cell r="J1666">
            <v>0</v>
          </cell>
          <cell r="K1666">
            <v>0</v>
          </cell>
          <cell r="L1666">
            <v>0</v>
          </cell>
        </row>
        <row r="1667">
          <cell r="D1667" t="str">
            <v xml:space="preserve">  J.  2.            </v>
          </cell>
          <cell r="E1667" t="str">
            <v xml:space="preserve">      </v>
          </cell>
          <cell r="F1667" t="str">
            <v>1.</v>
          </cell>
          <cell r="G1667" t="str">
            <v xml:space="preserve">Movimento de Terra  </v>
          </cell>
          <cell r="H1667" t="str">
            <v xml:space="preserve">      </v>
          </cell>
          <cell r="I1667">
            <v>0</v>
          </cell>
          <cell r="J1667">
            <v>0</v>
          </cell>
          <cell r="K1667">
            <v>0</v>
          </cell>
          <cell r="L1667">
            <v>0</v>
          </cell>
        </row>
        <row r="1668">
          <cell r="D1668" t="str">
            <v xml:space="preserve">  J.  3.            </v>
          </cell>
          <cell r="E1668" t="str">
            <v>CP1141</v>
          </cell>
          <cell r="F1668" t="str">
            <v>1.1.</v>
          </cell>
          <cell r="G1668" t="str">
            <v xml:space="preserve">Escavação mecânica em áreas solo de qualquer natureza  </v>
          </cell>
          <cell r="H1668" t="str">
            <v xml:space="preserve">m³    </v>
          </cell>
          <cell r="I1668">
            <v>1045</v>
          </cell>
          <cell r="J1668">
            <v>3.89</v>
          </cell>
          <cell r="K1668">
            <v>5.55</v>
          </cell>
          <cell r="L1668">
            <v>4065.05</v>
          </cell>
        </row>
        <row r="1669">
          <cell r="D1669" t="str">
            <v xml:space="preserve">  J.  4.            </v>
          </cell>
          <cell r="E1669" t="str">
            <v>CP1109</v>
          </cell>
          <cell r="F1669" t="str">
            <v>1.2.</v>
          </cell>
          <cell r="G1669" t="str">
            <v xml:space="preserve">Extração de rocha a frio em valas  </v>
          </cell>
          <cell r="H1669" t="str">
            <v xml:space="preserve">m³    </v>
          </cell>
          <cell r="I1669">
            <v>20</v>
          </cell>
          <cell r="J1669">
            <v>302.83999999999997</v>
          </cell>
          <cell r="K1669">
            <v>432.63</v>
          </cell>
          <cell r="L1669">
            <v>6056.8</v>
          </cell>
        </row>
        <row r="1670">
          <cell r="D1670" t="str">
            <v xml:space="preserve">  J.  5.            </v>
          </cell>
          <cell r="E1670" t="str">
            <v>CP1118</v>
          </cell>
          <cell r="F1670" t="str">
            <v>1.2.1.</v>
          </cell>
          <cell r="G1670" t="str">
            <v xml:space="preserve">Escavação mecânica de valas, material de primeira categoria, profundidade até 5, 50 m  </v>
          </cell>
          <cell r="H1670" t="str">
            <v xml:space="preserve">m³    </v>
          </cell>
          <cell r="I1670">
            <v>362</v>
          </cell>
          <cell r="J1670">
            <v>11.38</v>
          </cell>
          <cell r="K1670">
            <v>10.76</v>
          </cell>
          <cell r="L1670">
            <v>4119.5600000000004</v>
          </cell>
        </row>
        <row r="1671">
          <cell r="D1671" t="str">
            <v xml:space="preserve">  J.  6.            </v>
          </cell>
          <cell r="E1671" t="str">
            <v>CP1105</v>
          </cell>
          <cell r="F1671" t="str">
            <v>1.4.</v>
          </cell>
          <cell r="G1671" t="str">
            <v xml:space="preserve">Nivelamento do fundo de valas  </v>
          </cell>
          <cell r="H1671" t="str">
            <v xml:space="preserve">m     </v>
          </cell>
          <cell r="I1671">
            <v>78</v>
          </cell>
          <cell r="J1671">
            <v>2.3199999999999998</v>
          </cell>
          <cell r="K1671">
            <v>2.0699999999999998</v>
          </cell>
          <cell r="L1671">
            <v>180.96</v>
          </cell>
        </row>
        <row r="1672">
          <cell r="D1672" t="str">
            <v xml:space="preserve">  J.  7.            </v>
          </cell>
          <cell r="E1672" t="str">
            <v>CP1107</v>
          </cell>
          <cell r="F1672" t="str">
            <v>1.5.</v>
          </cell>
          <cell r="G1672" t="str">
            <v xml:space="preserve">Espalhamento de material escavado  </v>
          </cell>
          <cell r="H1672" t="str">
            <v xml:space="preserve">m³    </v>
          </cell>
          <cell r="I1672">
            <v>6755</v>
          </cell>
          <cell r="J1672">
            <v>1.28</v>
          </cell>
          <cell r="K1672">
            <v>1.6</v>
          </cell>
          <cell r="L1672">
            <v>8646.4</v>
          </cell>
        </row>
        <row r="1673">
          <cell r="D1673" t="str">
            <v xml:space="preserve">  J.  8.            </v>
          </cell>
          <cell r="E1673" t="str">
            <v>CP1085</v>
          </cell>
          <cell r="F1673" t="str">
            <v>1.6.</v>
          </cell>
          <cell r="G1673" t="str">
            <v xml:space="preserve">Carga mecânica de material em geral exceto rocha em caminhão basculante  </v>
          </cell>
          <cell r="H1673" t="str">
            <v xml:space="preserve">m³    </v>
          </cell>
          <cell r="I1673">
            <v>1855</v>
          </cell>
          <cell r="J1673">
            <v>1.23</v>
          </cell>
          <cell r="K1673">
            <v>1.74</v>
          </cell>
          <cell r="L1673">
            <v>2281.65</v>
          </cell>
        </row>
        <row r="1674">
          <cell r="D1674" t="str">
            <v xml:space="preserve">  J.  9.            </v>
          </cell>
          <cell r="E1674" t="str">
            <v>CP1070</v>
          </cell>
          <cell r="F1674" t="str">
            <v>1.7.</v>
          </cell>
          <cell r="G1674" t="str">
            <v xml:space="preserve">Transporte mecânico de material a granel em caminhão basculante  </v>
          </cell>
          <cell r="H1674" t="str">
            <v xml:space="preserve">m³xkm </v>
          </cell>
          <cell r="I1674">
            <v>18550</v>
          </cell>
          <cell r="J1674">
            <v>2.38</v>
          </cell>
          <cell r="K1674">
            <v>2.35</v>
          </cell>
          <cell r="L1674">
            <v>44149</v>
          </cell>
        </row>
        <row r="1675">
          <cell r="D1675" t="str">
            <v xml:space="preserve">  J. 10.            </v>
          </cell>
          <cell r="E1675" t="str">
            <v>CP1068</v>
          </cell>
          <cell r="F1675" t="str">
            <v>1.8.</v>
          </cell>
          <cell r="G1675" t="str">
            <v xml:space="preserve">Estrutura de escoramento descontínuo  </v>
          </cell>
          <cell r="H1675" t="str">
            <v xml:space="preserve">m²    </v>
          </cell>
          <cell r="I1675">
            <v>94</v>
          </cell>
          <cell r="J1675">
            <v>18.440000000000001</v>
          </cell>
          <cell r="K1675">
            <v>15.49</v>
          </cell>
          <cell r="L1675">
            <v>1733.36</v>
          </cell>
        </row>
        <row r="1676">
          <cell r="D1676" t="str">
            <v xml:space="preserve">  J. 11.            </v>
          </cell>
          <cell r="E1676" t="str">
            <v>CP1066</v>
          </cell>
          <cell r="F1676" t="str">
            <v>1.9.</v>
          </cell>
          <cell r="G1676" t="str">
            <v xml:space="preserve">Estrutura de escoramento contínuo  </v>
          </cell>
          <cell r="H1676" t="str">
            <v xml:space="preserve">m²    </v>
          </cell>
          <cell r="I1676">
            <v>41</v>
          </cell>
          <cell r="J1676">
            <v>27.37</v>
          </cell>
          <cell r="K1676">
            <v>38.67</v>
          </cell>
          <cell r="L1676">
            <v>1122.17</v>
          </cell>
        </row>
        <row r="1677">
          <cell r="D1677" t="str">
            <v xml:space="preserve">  J. 12.            </v>
          </cell>
          <cell r="E1677" t="str">
            <v xml:space="preserve">      </v>
          </cell>
          <cell r="F1677" t="str">
            <v>2.</v>
          </cell>
          <cell r="G1677" t="str">
            <v xml:space="preserve">Estruturas de Concreto  </v>
          </cell>
          <cell r="H1677" t="str">
            <v xml:space="preserve">      </v>
          </cell>
          <cell r="I1677">
            <v>0</v>
          </cell>
          <cell r="J1677">
            <v>0</v>
          </cell>
          <cell r="K1677">
            <v>0</v>
          </cell>
          <cell r="L1677">
            <v>0</v>
          </cell>
        </row>
        <row r="1678">
          <cell r="D1678" t="str">
            <v xml:space="preserve">  J. 13.            </v>
          </cell>
          <cell r="E1678" t="str">
            <v xml:space="preserve">      </v>
          </cell>
          <cell r="F1678" t="str">
            <v>2.1.</v>
          </cell>
          <cell r="G1678" t="str">
            <v xml:space="preserve">Escavação e concretagem de tubulões mecanizados  </v>
          </cell>
          <cell r="H1678" t="str">
            <v xml:space="preserve">      </v>
          </cell>
          <cell r="I1678">
            <v>0</v>
          </cell>
          <cell r="J1678">
            <v>0</v>
          </cell>
          <cell r="K1678">
            <v>0</v>
          </cell>
          <cell r="L1678">
            <v>0</v>
          </cell>
        </row>
        <row r="1679">
          <cell r="D1679" t="str">
            <v xml:space="preserve">  J. 14.            </v>
          </cell>
          <cell r="E1679" t="str">
            <v>CP0082</v>
          </cell>
          <cell r="F1679" t="str">
            <v>2.1.1.</v>
          </cell>
          <cell r="G1679" t="str">
            <v xml:space="preserve">Escavação e concretagem de tubulões mecanizados D = 40 cm  </v>
          </cell>
          <cell r="H1679" t="str">
            <v xml:space="preserve">m     </v>
          </cell>
          <cell r="I1679">
            <v>120</v>
          </cell>
          <cell r="J1679">
            <v>114.36</v>
          </cell>
          <cell r="K1679">
            <v>121.14</v>
          </cell>
          <cell r="L1679">
            <v>13723.2</v>
          </cell>
        </row>
        <row r="1680">
          <cell r="D1680" t="str">
            <v xml:space="preserve">  J. 15.            </v>
          </cell>
          <cell r="E1680" t="str">
            <v>CP0061</v>
          </cell>
          <cell r="F1680" t="str">
            <v>2.2.</v>
          </cell>
          <cell r="G1680" t="str">
            <v xml:space="preserve">Formas planas para estruturas em chapa de madeira plastificada - 02 reaproveitamentos, inclusive desforma  </v>
          </cell>
          <cell r="H1680" t="str">
            <v xml:space="preserve">m²    </v>
          </cell>
          <cell r="I1680">
            <v>3200</v>
          </cell>
          <cell r="J1680">
            <v>87.97</v>
          </cell>
          <cell r="K1680">
            <v>73.349999999999994</v>
          </cell>
          <cell r="L1680">
            <v>281504</v>
          </cell>
        </row>
        <row r="1681">
          <cell r="D1681" t="str">
            <v xml:space="preserve">  J. 16.            </v>
          </cell>
          <cell r="E1681" t="str">
            <v>CP1056</v>
          </cell>
          <cell r="F1681" t="str">
            <v>2.3.</v>
          </cell>
          <cell r="G1681" t="str">
            <v xml:space="preserve">Armadura de aço CA-50, com fornecimento do material Corte e dobra  </v>
          </cell>
          <cell r="H1681" t="str">
            <v xml:space="preserve">kg    </v>
          </cell>
          <cell r="I1681">
            <v>2850</v>
          </cell>
          <cell r="J1681">
            <v>6.9</v>
          </cell>
          <cell r="K1681">
            <v>5.78</v>
          </cell>
          <cell r="L1681">
            <v>19665</v>
          </cell>
        </row>
        <row r="1682">
          <cell r="D1682" t="str">
            <v xml:space="preserve">  J. 17.            </v>
          </cell>
          <cell r="E1682" t="str">
            <v>CP1054</v>
          </cell>
          <cell r="F1682" t="str">
            <v>2.4.</v>
          </cell>
          <cell r="G1682" t="str">
            <v xml:space="preserve">Armadura de aço CA-60, com fornecimento do material Corte e dobra  </v>
          </cell>
          <cell r="H1682" t="str">
            <v xml:space="preserve">kg    </v>
          </cell>
          <cell r="I1682">
            <v>56</v>
          </cell>
          <cell r="J1682">
            <v>7.59</v>
          </cell>
          <cell r="K1682">
            <v>6.34</v>
          </cell>
          <cell r="L1682">
            <v>425.04</v>
          </cell>
        </row>
        <row r="1683">
          <cell r="D1683" t="str">
            <v xml:space="preserve">  J. 18.            </v>
          </cell>
          <cell r="E1683" t="str">
            <v>CP0098</v>
          </cell>
          <cell r="F1683" t="str">
            <v>2.5.</v>
          </cell>
          <cell r="G1683" t="str">
            <v xml:space="preserve">Fornecimento e lançamento de concreto usinado bombeado fck = 15 MPA  </v>
          </cell>
          <cell r="H1683" t="str">
            <v xml:space="preserve">m³    </v>
          </cell>
          <cell r="I1683">
            <v>390</v>
          </cell>
          <cell r="J1683">
            <v>338.63</v>
          </cell>
          <cell r="K1683">
            <v>282.86</v>
          </cell>
          <cell r="L1683">
            <v>132065.70000000001</v>
          </cell>
        </row>
        <row r="1684">
          <cell r="D1684" t="str">
            <v xml:space="preserve">  J. 19.            </v>
          </cell>
          <cell r="E1684" t="str">
            <v>CP0052</v>
          </cell>
          <cell r="F1684" t="str">
            <v>2.6.</v>
          </cell>
          <cell r="G1684" t="str">
            <v xml:space="preserve">Preparo e lançamento de concreto simples mínimo de 150 kg cimento/m³  </v>
          </cell>
          <cell r="H1684" t="str">
            <v xml:space="preserve">m³    </v>
          </cell>
          <cell r="I1684">
            <v>36</v>
          </cell>
          <cell r="J1684">
            <v>284.95</v>
          </cell>
          <cell r="K1684">
            <v>237.1</v>
          </cell>
          <cell r="L1684">
            <v>10258.200000000001</v>
          </cell>
        </row>
        <row r="1685">
          <cell r="D1685" t="str">
            <v xml:space="preserve">  J. 20.            </v>
          </cell>
          <cell r="E1685" t="str">
            <v xml:space="preserve">      </v>
          </cell>
          <cell r="F1685" t="str">
            <v>3.</v>
          </cell>
          <cell r="G1685" t="str">
            <v xml:space="preserve">Fornecimento de Acessórios para PV's, Caixas e Manholes  </v>
          </cell>
          <cell r="H1685" t="str">
            <v xml:space="preserve">      </v>
          </cell>
          <cell r="I1685">
            <v>0</v>
          </cell>
          <cell r="J1685">
            <v>0</v>
          </cell>
          <cell r="K1685">
            <v>0</v>
          </cell>
          <cell r="L1685">
            <v>0</v>
          </cell>
        </row>
        <row r="1686">
          <cell r="D1686" t="str">
            <v xml:space="preserve">  J. 21.            </v>
          </cell>
          <cell r="E1686" t="str">
            <v>CP1028</v>
          </cell>
          <cell r="F1686" t="str">
            <v>3.1.</v>
          </cell>
          <cell r="G1686" t="str">
            <v xml:space="preserve">Tampão de F.F. T-105  </v>
          </cell>
          <cell r="H1686" t="str">
            <v xml:space="preserve">un    </v>
          </cell>
          <cell r="I1686">
            <v>30</v>
          </cell>
          <cell r="J1686">
            <v>231</v>
          </cell>
          <cell r="K1686">
            <v>330</v>
          </cell>
          <cell r="L1686">
            <v>6930</v>
          </cell>
        </row>
        <row r="1687">
          <cell r="D1687" t="str">
            <v xml:space="preserve">  J. 22.            </v>
          </cell>
          <cell r="E1687" t="str">
            <v>CP1665</v>
          </cell>
          <cell r="F1687" t="str">
            <v>3.2.</v>
          </cell>
          <cell r="G1687" t="str">
            <v xml:space="preserve">Aduelas de concreto D=1,50 x 0,40 m  </v>
          </cell>
          <cell r="H1687" t="str">
            <v xml:space="preserve">un    </v>
          </cell>
          <cell r="I1687">
            <v>130</v>
          </cell>
          <cell r="J1687">
            <v>171.97</v>
          </cell>
          <cell r="K1687">
            <v>143.43</v>
          </cell>
          <cell r="L1687">
            <v>22356.1</v>
          </cell>
        </row>
        <row r="1688">
          <cell r="D1688" t="str">
            <v xml:space="preserve">  J. 23.            </v>
          </cell>
          <cell r="E1688" t="str">
            <v>CP1734</v>
          </cell>
          <cell r="F1688" t="str">
            <v>3.3.</v>
          </cell>
          <cell r="G1688" t="str">
            <v xml:space="preserve">Excêntrica de concreto armado, D=1,70m para poço de visita D=1,50m  </v>
          </cell>
          <cell r="H1688" t="str">
            <v xml:space="preserve">un    </v>
          </cell>
          <cell r="I1688">
            <v>17</v>
          </cell>
          <cell r="J1688">
            <v>125.26</v>
          </cell>
          <cell r="K1688">
            <v>178.94</v>
          </cell>
          <cell r="L1688">
            <v>2129.42</v>
          </cell>
        </row>
        <row r="1689">
          <cell r="D1689" t="str">
            <v xml:space="preserve">  J. 24.            </v>
          </cell>
          <cell r="E1689" t="str">
            <v xml:space="preserve">      </v>
          </cell>
          <cell r="F1689" t="str">
            <v>4.</v>
          </cell>
          <cell r="G1689" t="str">
            <v xml:space="preserve">Assentamento de Acessórios para PV's, Caixas e Manholes  </v>
          </cell>
          <cell r="H1689" t="str">
            <v xml:space="preserve">      </v>
          </cell>
          <cell r="I1689">
            <v>0</v>
          </cell>
          <cell r="J1689">
            <v>0</v>
          </cell>
          <cell r="K1689">
            <v>0</v>
          </cell>
          <cell r="L1689">
            <v>0</v>
          </cell>
        </row>
        <row r="1690">
          <cell r="D1690" t="str">
            <v xml:space="preserve">  J. 25.            </v>
          </cell>
          <cell r="E1690" t="str">
            <v>CP1032</v>
          </cell>
          <cell r="F1690" t="str">
            <v>4.1.</v>
          </cell>
          <cell r="G1690" t="str">
            <v xml:space="preserve">Assentamento de Tampão de ferro fundido T-105  </v>
          </cell>
          <cell r="H1690" t="str">
            <v xml:space="preserve">un    </v>
          </cell>
          <cell r="I1690">
            <v>30</v>
          </cell>
          <cell r="J1690">
            <v>27.81</v>
          </cell>
          <cell r="K1690">
            <v>27.25</v>
          </cell>
          <cell r="L1690">
            <v>834.3</v>
          </cell>
        </row>
        <row r="1691">
          <cell r="D1691" t="str">
            <v xml:space="preserve">  J. 26.            </v>
          </cell>
          <cell r="E1691" t="str">
            <v>CP0166</v>
          </cell>
          <cell r="F1691" t="str">
            <v>4.2.</v>
          </cell>
          <cell r="G1691" t="str">
            <v xml:space="preserve">Assentamento de aduelas D=1, 50m x 0,40m  </v>
          </cell>
          <cell r="H1691" t="str">
            <v xml:space="preserve">un    </v>
          </cell>
          <cell r="I1691">
            <v>130</v>
          </cell>
          <cell r="J1691">
            <v>33.57</v>
          </cell>
          <cell r="K1691">
            <v>47.96</v>
          </cell>
          <cell r="L1691">
            <v>4364.1000000000004</v>
          </cell>
        </row>
        <row r="1692">
          <cell r="D1692" t="str">
            <v xml:space="preserve">  J. 27.            </v>
          </cell>
          <cell r="E1692" t="str">
            <v>CP0166</v>
          </cell>
          <cell r="F1692" t="str">
            <v>4.3.</v>
          </cell>
          <cell r="G1692" t="str">
            <v xml:space="preserve">Assentamento de excêntrica de concreto D=1,70m  </v>
          </cell>
          <cell r="H1692" t="str">
            <v xml:space="preserve">un    </v>
          </cell>
          <cell r="I1692">
            <v>17</v>
          </cell>
          <cell r="J1692">
            <v>33.57</v>
          </cell>
          <cell r="K1692">
            <v>47.96</v>
          </cell>
          <cell r="L1692">
            <v>570.69000000000005</v>
          </cell>
        </row>
        <row r="1693">
          <cell r="D1693" t="str">
            <v xml:space="preserve">  J. 28.            </v>
          </cell>
          <cell r="E1693" t="str">
            <v xml:space="preserve">      </v>
          </cell>
          <cell r="F1693" t="str">
            <v>5.</v>
          </cell>
          <cell r="G1693" t="str">
            <v xml:space="preserve">Materiais Diversos  </v>
          </cell>
          <cell r="H1693" t="str">
            <v xml:space="preserve">      </v>
          </cell>
          <cell r="I1693">
            <v>0</v>
          </cell>
          <cell r="J1693">
            <v>0</v>
          </cell>
          <cell r="K1693">
            <v>0</v>
          </cell>
          <cell r="L1693">
            <v>0</v>
          </cell>
        </row>
        <row r="1694">
          <cell r="D1694" t="str">
            <v xml:space="preserve">  J. 29.            </v>
          </cell>
          <cell r="E1694" t="str">
            <v>CP1979</v>
          </cell>
          <cell r="F1694" t="str">
            <v>5.1.</v>
          </cell>
          <cell r="G1694" t="str">
            <v xml:space="preserve">Escada tipo marinheiro conforme projeto  </v>
          </cell>
          <cell r="H1694" t="str">
            <v xml:space="preserve">m     </v>
          </cell>
          <cell r="I1694">
            <v>6</v>
          </cell>
          <cell r="J1694">
            <v>21.92</v>
          </cell>
          <cell r="K1694">
            <v>18.37</v>
          </cell>
          <cell r="L1694">
            <v>131.52000000000001</v>
          </cell>
        </row>
        <row r="1695">
          <cell r="D1695" t="str">
            <v xml:space="preserve">  J. 30.            </v>
          </cell>
          <cell r="E1695" t="str">
            <v>CP1566</v>
          </cell>
          <cell r="F1695" t="str">
            <v>5.2.</v>
          </cell>
          <cell r="G1695" t="str">
            <v xml:space="preserve">Tampa em fibra de vidro inclusive alças conforme projeto (1,35 x 0,80)  </v>
          </cell>
          <cell r="H1695" t="str">
            <v xml:space="preserve">un    </v>
          </cell>
          <cell r="I1695">
            <v>1</v>
          </cell>
          <cell r="J1695">
            <v>864.4</v>
          </cell>
          <cell r="K1695">
            <v>720.95</v>
          </cell>
          <cell r="L1695">
            <v>864.4</v>
          </cell>
        </row>
        <row r="1696">
          <cell r="D1696" t="str">
            <v xml:space="preserve">  J. 31.            </v>
          </cell>
          <cell r="E1696" t="str">
            <v>CP1433</v>
          </cell>
          <cell r="F1696" t="str">
            <v>5.3.</v>
          </cell>
          <cell r="G1696" t="str">
            <v xml:space="preserve">Tampas em fibra de vidro (2, 00 x 2,00)  </v>
          </cell>
          <cell r="H1696" t="str">
            <v xml:space="preserve">un    </v>
          </cell>
          <cell r="I1696">
            <v>2</v>
          </cell>
          <cell r="J1696">
            <v>5504.83</v>
          </cell>
          <cell r="K1696">
            <v>7864.04</v>
          </cell>
          <cell r="L1696">
            <v>11009.66</v>
          </cell>
        </row>
        <row r="1697">
          <cell r="D1697" t="str">
            <v xml:space="preserve">  K. 32.            </v>
          </cell>
          <cell r="E1697" t="str">
            <v xml:space="preserve">      </v>
          </cell>
          <cell r="F1697" t="str">
            <v>0.XI.</v>
          </cell>
          <cell r="G1697" t="str">
            <v xml:space="preserve">PRÉDIO DA ADMINISTRAÇÃO (REFORMA)  </v>
          </cell>
          <cell r="H1697" t="str">
            <v xml:space="preserve">      </v>
          </cell>
          <cell r="I1697">
            <v>0</v>
          </cell>
          <cell r="J1697">
            <v>0</v>
          </cell>
          <cell r="K1697">
            <v>0</v>
          </cell>
          <cell r="L1697">
            <v>0</v>
          </cell>
        </row>
        <row r="1698">
          <cell r="D1698" t="str">
            <v xml:space="preserve">  K. 33.            </v>
          </cell>
          <cell r="E1698" t="str">
            <v xml:space="preserve">      </v>
          </cell>
          <cell r="F1698" t="str">
            <v>1.</v>
          </cell>
          <cell r="G1698" t="str">
            <v xml:space="preserve">Obras Diversas  </v>
          </cell>
          <cell r="H1698" t="str">
            <v xml:space="preserve">      </v>
          </cell>
          <cell r="I1698">
            <v>0</v>
          </cell>
          <cell r="J1698">
            <v>0</v>
          </cell>
          <cell r="K1698">
            <v>0</v>
          </cell>
          <cell r="L1698">
            <v>0</v>
          </cell>
        </row>
        <row r="1699">
          <cell r="D1699" t="str">
            <v xml:space="preserve">  K. 34.            </v>
          </cell>
          <cell r="E1699" t="str">
            <v>CP1150</v>
          </cell>
          <cell r="F1699" t="str">
            <v>1.1.</v>
          </cell>
          <cell r="G1699" t="str">
            <v xml:space="preserve">Demolição de Alvenaria sem reaproveitamento  </v>
          </cell>
          <cell r="H1699" t="str">
            <v xml:space="preserve">m3    </v>
          </cell>
          <cell r="I1699">
            <v>43</v>
          </cell>
          <cell r="J1699">
            <v>27.97</v>
          </cell>
          <cell r="K1699">
            <v>23.39</v>
          </cell>
          <cell r="L1699">
            <v>1202.71</v>
          </cell>
        </row>
        <row r="1700">
          <cell r="D1700" t="str">
            <v xml:space="preserve">  K. 35.            </v>
          </cell>
          <cell r="E1700" t="str">
            <v xml:space="preserve">      </v>
          </cell>
          <cell r="F1700" t="str">
            <v>1.2.</v>
          </cell>
          <cell r="G1700" t="str">
            <v xml:space="preserve">Remoção do material demolido no canteiro de obras  </v>
          </cell>
          <cell r="H1700" t="str">
            <v xml:space="preserve">      </v>
          </cell>
          <cell r="I1700">
            <v>0</v>
          </cell>
          <cell r="J1700">
            <v>0</v>
          </cell>
          <cell r="K1700">
            <v>0</v>
          </cell>
          <cell r="L1700">
            <v>0</v>
          </cell>
        </row>
        <row r="1701">
          <cell r="D1701" t="str">
            <v xml:space="preserve">  K. 36.            </v>
          </cell>
          <cell r="E1701" t="str">
            <v>CP0977</v>
          </cell>
          <cell r="F1701" t="str">
            <v>1.2.1.</v>
          </cell>
          <cell r="G1701" t="str">
            <v xml:space="preserve">Transporte manual horizontal de argamassa até 60 metros de distância  </v>
          </cell>
          <cell r="H1701" t="str">
            <v xml:space="preserve">m3    </v>
          </cell>
          <cell r="I1701">
            <v>43</v>
          </cell>
          <cell r="J1701">
            <v>27.77</v>
          </cell>
          <cell r="K1701">
            <v>23.19</v>
          </cell>
          <cell r="L1701">
            <v>1194.1099999999999</v>
          </cell>
        </row>
        <row r="1702">
          <cell r="D1702" t="str">
            <v xml:space="preserve">  K. 37.            </v>
          </cell>
          <cell r="E1702" t="str">
            <v xml:space="preserve">      </v>
          </cell>
          <cell r="F1702" t="str">
            <v>1.3.</v>
          </cell>
          <cell r="G1702" t="str">
            <v xml:space="preserve">Alvenaria em blocos de concreto  </v>
          </cell>
          <cell r="H1702" t="str">
            <v xml:space="preserve">      </v>
          </cell>
          <cell r="I1702">
            <v>0</v>
          </cell>
          <cell r="J1702">
            <v>0</v>
          </cell>
          <cell r="K1702">
            <v>0</v>
          </cell>
          <cell r="L1702">
            <v>0</v>
          </cell>
        </row>
        <row r="1703">
          <cell r="D1703" t="str">
            <v xml:space="preserve">  K. 38.            </v>
          </cell>
          <cell r="E1703" t="str">
            <v>CP0350</v>
          </cell>
          <cell r="F1703" t="str">
            <v>1.3.1.</v>
          </cell>
          <cell r="G1703" t="str">
            <v xml:space="preserve">Alvenaria em blocos de concreto 30 x 20 x 10 e = 30cm  </v>
          </cell>
          <cell r="H1703" t="str">
            <v xml:space="preserve">m2    </v>
          </cell>
          <cell r="I1703">
            <v>50</v>
          </cell>
          <cell r="J1703">
            <v>118.42</v>
          </cell>
          <cell r="K1703">
            <v>169.17</v>
          </cell>
          <cell r="L1703">
            <v>5921</v>
          </cell>
        </row>
        <row r="1704">
          <cell r="D1704" t="str">
            <v xml:space="preserve">  K. 39.            </v>
          </cell>
          <cell r="E1704" t="str">
            <v>CP0047</v>
          </cell>
          <cell r="F1704" t="str">
            <v>1.3.2.</v>
          </cell>
          <cell r="G1704" t="str">
            <v xml:space="preserve">Alvenaria em blocos de concreto 40 x 20 x 20 e = 20cm  </v>
          </cell>
          <cell r="H1704" t="str">
            <v xml:space="preserve">m2    </v>
          </cell>
          <cell r="I1704">
            <v>186</v>
          </cell>
          <cell r="J1704">
            <v>45.68</v>
          </cell>
          <cell r="K1704">
            <v>50.25</v>
          </cell>
          <cell r="L1704">
            <v>8496.48</v>
          </cell>
        </row>
        <row r="1705">
          <cell r="D1705" t="str">
            <v xml:space="preserve">  K. 40.            </v>
          </cell>
          <cell r="E1705" t="str">
            <v>CP0049</v>
          </cell>
          <cell r="F1705" t="str">
            <v>1.3.3.</v>
          </cell>
          <cell r="G1705" t="str">
            <v xml:space="preserve">Alvenaria em blocos de concreto 40 x 20 x 10 e = 10cm  </v>
          </cell>
          <cell r="H1705" t="str">
            <v xml:space="preserve">m2    </v>
          </cell>
          <cell r="I1705">
            <v>261</v>
          </cell>
          <cell r="J1705">
            <v>33.6</v>
          </cell>
          <cell r="K1705">
            <v>28.21</v>
          </cell>
          <cell r="L1705">
            <v>8769.6</v>
          </cell>
        </row>
        <row r="1706">
          <cell r="D1706" t="str">
            <v xml:space="preserve">  K. 41.            </v>
          </cell>
          <cell r="E1706" t="str">
            <v>CP0205</v>
          </cell>
          <cell r="F1706" t="str">
            <v>1.4.</v>
          </cell>
          <cell r="G1706" t="str">
            <v xml:space="preserve">Chapisco com cimento AF-32 e areia traço 1:3  </v>
          </cell>
          <cell r="H1706" t="str">
            <v xml:space="preserve">m2    </v>
          </cell>
          <cell r="I1706">
            <v>1343</v>
          </cell>
          <cell r="J1706">
            <v>3.1</v>
          </cell>
          <cell r="K1706">
            <v>3.58</v>
          </cell>
          <cell r="L1706">
            <v>4163.3</v>
          </cell>
        </row>
        <row r="1707">
          <cell r="D1707" t="str">
            <v xml:space="preserve">  K. 42.            </v>
          </cell>
          <cell r="E1707" t="str">
            <v>CP0968</v>
          </cell>
          <cell r="F1707" t="str">
            <v>1.5.</v>
          </cell>
          <cell r="G1707" t="str">
            <v xml:space="preserve">Emboço com argamassa de cimento e saibro traço 1:6  </v>
          </cell>
          <cell r="H1707" t="str">
            <v xml:space="preserve">m2    </v>
          </cell>
          <cell r="I1707">
            <v>857</v>
          </cell>
          <cell r="J1707">
            <v>11.33</v>
          </cell>
          <cell r="K1707">
            <v>16.16</v>
          </cell>
          <cell r="L1707">
            <v>9709.81</v>
          </cell>
        </row>
        <row r="1708">
          <cell r="D1708" t="str">
            <v xml:space="preserve">  K. 43.            </v>
          </cell>
          <cell r="E1708" t="str">
            <v>CP0959</v>
          </cell>
          <cell r="F1708" t="str">
            <v>1.6.</v>
          </cell>
          <cell r="G1708" t="str">
            <v xml:space="preserve">Emboço para azulejo  </v>
          </cell>
          <cell r="H1708" t="str">
            <v xml:space="preserve">m2    </v>
          </cell>
          <cell r="I1708">
            <v>510</v>
          </cell>
          <cell r="J1708">
            <v>11.96</v>
          </cell>
          <cell r="K1708">
            <v>17.09</v>
          </cell>
          <cell r="L1708">
            <v>6099.6</v>
          </cell>
        </row>
        <row r="1709">
          <cell r="D1709" t="str">
            <v xml:space="preserve">  K. 44.            </v>
          </cell>
          <cell r="E1709" t="str">
            <v>CP0962</v>
          </cell>
          <cell r="F1709" t="str">
            <v>1.7.</v>
          </cell>
          <cell r="G1709" t="str">
            <v xml:space="preserve">Reboco paulista (paredes e tetos sem forro)  </v>
          </cell>
          <cell r="H1709" t="str">
            <v xml:space="preserve">m2    </v>
          </cell>
          <cell r="I1709">
            <v>833</v>
          </cell>
          <cell r="J1709">
            <v>14.51</v>
          </cell>
          <cell r="K1709">
            <v>24.95</v>
          </cell>
          <cell r="L1709">
            <v>12086.83</v>
          </cell>
        </row>
        <row r="1710">
          <cell r="D1710" t="str">
            <v xml:space="preserve">  K. 45.            </v>
          </cell>
          <cell r="E1710" t="str">
            <v>CP0142</v>
          </cell>
          <cell r="F1710" t="str">
            <v>1.8.</v>
          </cell>
          <cell r="G1710" t="str">
            <v xml:space="preserve">Emassamento  </v>
          </cell>
          <cell r="H1710" t="str">
            <v xml:space="preserve">m2    </v>
          </cell>
          <cell r="I1710">
            <v>484</v>
          </cell>
          <cell r="J1710">
            <v>9.4700000000000006</v>
          </cell>
          <cell r="K1710">
            <v>7.92</v>
          </cell>
          <cell r="L1710">
            <v>4583.4799999999996</v>
          </cell>
        </row>
        <row r="1711">
          <cell r="D1711" t="str">
            <v xml:space="preserve">  K. 46.            </v>
          </cell>
          <cell r="E1711" t="str">
            <v>CP0342</v>
          </cell>
          <cell r="F1711" t="str">
            <v>1.9.</v>
          </cell>
          <cell r="G1711" t="str">
            <v xml:space="preserve">Remoção de pintura em paredes e tetos (lixamento)  </v>
          </cell>
          <cell r="H1711" t="str">
            <v xml:space="preserve">m2    </v>
          </cell>
          <cell r="I1711">
            <v>3663</v>
          </cell>
          <cell r="J1711">
            <v>6.12</v>
          </cell>
          <cell r="K1711">
            <v>5.25</v>
          </cell>
          <cell r="L1711">
            <v>22417.56</v>
          </cell>
        </row>
        <row r="1712">
          <cell r="D1712" t="str">
            <v xml:space="preserve">  K. 47.            </v>
          </cell>
          <cell r="E1712" t="str">
            <v xml:space="preserve">      </v>
          </cell>
          <cell r="F1712" t="str">
            <v>1.10.</v>
          </cell>
          <cell r="G1712" t="str">
            <v xml:space="preserve">Pintura sem massa corrida:  </v>
          </cell>
          <cell r="H1712" t="str">
            <v xml:space="preserve">      </v>
          </cell>
          <cell r="I1712">
            <v>0</v>
          </cell>
          <cell r="J1712">
            <v>0</v>
          </cell>
          <cell r="K1712">
            <v>0</v>
          </cell>
          <cell r="L1712">
            <v>0</v>
          </cell>
        </row>
        <row r="1713">
          <cell r="D1713" t="str">
            <v xml:space="preserve">  K. 48.            </v>
          </cell>
          <cell r="E1713" t="str">
            <v>CP0233</v>
          </cell>
          <cell r="F1713" t="str">
            <v>1.10.1.</v>
          </cell>
          <cell r="G1713" t="str">
            <v xml:space="preserve">Esmalte sintético acetinado cor branco gelo da CORAL ou similar  </v>
          </cell>
          <cell r="H1713" t="str">
            <v xml:space="preserve">m2    </v>
          </cell>
          <cell r="I1713">
            <v>349</v>
          </cell>
          <cell r="J1713">
            <v>8.7899999999999991</v>
          </cell>
          <cell r="K1713">
            <v>12.55</v>
          </cell>
          <cell r="L1713">
            <v>3067.71</v>
          </cell>
        </row>
        <row r="1714">
          <cell r="D1714" t="str">
            <v xml:space="preserve">  K. 49.            </v>
          </cell>
          <cell r="E1714" t="str">
            <v>CP0955</v>
          </cell>
          <cell r="F1714" t="str">
            <v>1.10.2.</v>
          </cell>
          <cell r="G1714" t="str">
            <v xml:space="preserve">Pintura latex acrílica sem massa corrida, em duas demãos  </v>
          </cell>
          <cell r="H1714" t="str">
            <v xml:space="preserve">m2    </v>
          </cell>
          <cell r="I1714">
            <v>1450</v>
          </cell>
          <cell r="J1714">
            <v>13.26</v>
          </cell>
          <cell r="K1714">
            <v>18.940000000000001</v>
          </cell>
          <cell r="L1714">
            <v>19227</v>
          </cell>
        </row>
        <row r="1715">
          <cell r="D1715" t="str">
            <v xml:space="preserve">  K. 50.            </v>
          </cell>
          <cell r="E1715" t="str">
            <v>CP0227</v>
          </cell>
          <cell r="F1715" t="str">
            <v>1.10.3.</v>
          </cell>
          <cell r="G1715" t="str">
            <v xml:space="preserve">Revestimento Acril-color L/T liso da FACE-COLOR ou similar, referência de tonalidade 1226 P da CORAL ou similar  </v>
          </cell>
          <cell r="H1715" t="str">
            <v xml:space="preserve">m2    </v>
          </cell>
          <cell r="I1715">
            <v>735</v>
          </cell>
          <cell r="J1715">
            <v>9.35</v>
          </cell>
          <cell r="K1715">
            <v>15.34</v>
          </cell>
          <cell r="L1715">
            <v>6872.25</v>
          </cell>
        </row>
        <row r="1716">
          <cell r="D1716" t="str">
            <v xml:space="preserve">  K. 51.            </v>
          </cell>
          <cell r="E1716" t="str">
            <v>CP0221</v>
          </cell>
          <cell r="F1716" t="str">
            <v>1.10.4.</v>
          </cell>
          <cell r="G1716" t="str">
            <v xml:space="preserve">Revestimento Acril-color L/T liso da FACE-COLOR ou similar, ref. de tonalidade 1232 M da CORAL ou similar  </v>
          </cell>
          <cell r="H1716" t="str">
            <v xml:space="preserve">m2    </v>
          </cell>
          <cell r="I1716">
            <v>252</v>
          </cell>
          <cell r="J1716">
            <v>10.74</v>
          </cell>
          <cell r="K1716">
            <v>15.34</v>
          </cell>
          <cell r="L1716">
            <v>2706.48</v>
          </cell>
        </row>
        <row r="1717">
          <cell r="D1717" t="str">
            <v xml:space="preserve">  K. 52.            </v>
          </cell>
          <cell r="E1717" t="str">
            <v>CP0337</v>
          </cell>
          <cell r="F1717" t="str">
            <v>1.10.5.</v>
          </cell>
          <cell r="G1717" t="str">
            <v xml:space="preserve">Pintura acrílica cor 2144 T da CORAL ou similar  </v>
          </cell>
          <cell r="H1717" t="str">
            <v xml:space="preserve">m2    </v>
          </cell>
          <cell r="I1717">
            <v>362</v>
          </cell>
          <cell r="J1717">
            <v>9.2100000000000009</v>
          </cell>
          <cell r="K1717">
            <v>18.940000000000001</v>
          </cell>
          <cell r="L1717">
            <v>3334.02</v>
          </cell>
        </row>
        <row r="1718">
          <cell r="D1718" t="str">
            <v xml:space="preserve">  K. 53.            </v>
          </cell>
          <cell r="E1718" t="str">
            <v>CP0244</v>
          </cell>
          <cell r="F1718" t="str">
            <v>1.10.6.</v>
          </cell>
          <cell r="G1718" t="str">
            <v xml:space="preserve">Revestimento chapas de isopor de 2 cm com acabamento em laminado melamínico  </v>
          </cell>
          <cell r="H1718" t="str">
            <v xml:space="preserve">m2    </v>
          </cell>
          <cell r="I1718">
            <v>52</v>
          </cell>
          <cell r="J1718">
            <v>117.39</v>
          </cell>
          <cell r="K1718">
            <v>114.37</v>
          </cell>
          <cell r="L1718">
            <v>6104.28</v>
          </cell>
        </row>
        <row r="1719">
          <cell r="D1719" t="str">
            <v xml:space="preserve">  K. 54.            </v>
          </cell>
          <cell r="E1719" t="str">
            <v xml:space="preserve">      </v>
          </cell>
          <cell r="F1719" t="str">
            <v>1.11.</v>
          </cell>
          <cell r="G1719" t="str">
            <v xml:space="preserve">Revestimentos cerâmicos (paredes e pisos):  </v>
          </cell>
          <cell r="H1719" t="str">
            <v xml:space="preserve">      </v>
          </cell>
          <cell r="I1719">
            <v>0</v>
          </cell>
          <cell r="J1719">
            <v>0</v>
          </cell>
          <cell r="K1719">
            <v>0</v>
          </cell>
          <cell r="L1719">
            <v>0</v>
          </cell>
        </row>
        <row r="1720">
          <cell r="D1720" t="str">
            <v xml:space="preserve">  K. 55.            </v>
          </cell>
          <cell r="E1720" t="str">
            <v>CP0110</v>
          </cell>
          <cell r="F1720" t="str">
            <v>1.11.1.</v>
          </cell>
          <cell r="G1720" t="str">
            <v xml:space="preserve">Cerâmica arquiteto alumínio 10 x 10, da PORTOBELLO ou similar  </v>
          </cell>
          <cell r="H1720" t="str">
            <v xml:space="preserve">m2    </v>
          </cell>
          <cell r="I1720">
            <v>21</v>
          </cell>
          <cell r="J1720">
            <v>47.51</v>
          </cell>
          <cell r="K1720">
            <v>59.52</v>
          </cell>
          <cell r="L1720">
            <v>997.71</v>
          </cell>
        </row>
        <row r="1721">
          <cell r="D1721" t="str">
            <v xml:space="preserve">  K. 56.            </v>
          </cell>
          <cell r="E1721" t="str">
            <v>CP0214</v>
          </cell>
          <cell r="F1721" t="str">
            <v>1.11.2.</v>
          </cell>
          <cell r="G1721" t="str">
            <v xml:space="preserve">Cerâmica arquiteto preto 10 x 10, da PORTOBELLO ou similar  </v>
          </cell>
          <cell r="H1721" t="str">
            <v xml:space="preserve">m2    </v>
          </cell>
          <cell r="I1721">
            <v>23</v>
          </cell>
          <cell r="J1721">
            <v>54.76</v>
          </cell>
          <cell r="K1721">
            <v>61.43</v>
          </cell>
          <cell r="L1721">
            <v>1259.48</v>
          </cell>
        </row>
        <row r="1722">
          <cell r="D1722" t="str">
            <v xml:space="preserve">  K. 57.            </v>
          </cell>
          <cell r="E1722" t="str">
            <v>CP0130</v>
          </cell>
          <cell r="F1722" t="str">
            <v>1.11.3.</v>
          </cell>
          <cell r="G1722" t="str">
            <v xml:space="preserve">Cerâmica arquiteto alumínio 30 x 30, da PORTOBELLO ou similar  </v>
          </cell>
          <cell r="H1722" t="str">
            <v xml:space="preserve">m2    </v>
          </cell>
          <cell r="I1722">
            <v>466</v>
          </cell>
          <cell r="J1722">
            <v>47.04</v>
          </cell>
          <cell r="K1722">
            <v>51.84</v>
          </cell>
          <cell r="L1722">
            <v>21920.639999999999</v>
          </cell>
        </row>
        <row r="1723">
          <cell r="D1723" t="str">
            <v xml:space="preserve">  K. 58.            </v>
          </cell>
          <cell r="E1723" t="str">
            <v>CP0121</v>
          </cell>
          <cell r="F1723" t="str">
            <v>1.11.4.</v>
          </cell>
          <cell r="G1723" t="str">
            <v xml:space="preserve">Filete Torello gray da PORTOBELLO ou similar  </v>
          </cell>
          <cell r="H1723" t="str">
            <v xml:space="preserve">m     </v>
          </cell>
          <cell r="I1723">
            <v>203</v>
          </cell>
          <cell r="J1723">
            <v>30.79</v>
          </cell>
          <cell r="K1723">
            <v>25.66</v>
          </cell>
          <cell r="L1723">
            <v>6250.37</v>
          </cell>
        </row>
        <row r="1724">
          <cell r="D1724" t="str">
            <v xml:space="preserve">  K. 59.            </v>
          </cell>
          <cell r="E1724" t="str">
            <v>CP0140</v>
          </cell>
          <cell r="F1724" t="str">
            <v>1.11.5.</v>
          </cell>
          <cell r="G1724" t="str">
            <v xml:space="preserve">Cerâmica laser cinza 30 x 8 da PORTOBELLO ou similar  </v>
          </cell>
          <cell r="H1724" t="str">
            <v xml:space="preserve">m2    </v>
          </cell>
          <cell r="I1724">
            <v>20</v>
          </cell>
          <cell r="J1724">
            <v>33.479999999999997</v>
          </cell>
          <cell r="K1724">
            <v>30.61</v>
          </cell>
          <cell r="L1724">
            <v>669.6</v>
          </cell>
        </row>
        <row r="1725">
          <cell r="D1725" t="str">
            <v xml:space="preserve">  K. 60.            </v>
          </cell>
          <cell r="E1725" t="str">
            <v>CP0137</v>
          </cell>
          <cell r="F1725" t="str">
            <v>1.11.6.</v>
          </cell>
          <cell r="G1725" t="str">
            <v xml:space="preserve">Cerâmica laser cinza 30 x 30 da PORTOBELLO ou similar  </v>
          </cell>
          <cell r="H1725" t="str">
            <v xml:space="preserve">m2    </v>
          </cell>
          <cell r="I1725">
            <v>2196</v>
          </cell>
          <cell r="J1725">
            <v>65.16</v>
          </cell>
          <cell r="K1725">
            <v>62.05</v>
          </cell>
          <cell r="L1725">
            <v>143091.35999999999</v>
          </cell>
        </row>
        <row r="1726">
          <cell r="D1726" t="str">
            <v xml:space="preserve">  K. 61.            </v>
          </cell>
          <cell r="E1726" t="str">
            <v>CP0333</v>
          </cell>
          <cell r="F1726" t="str">
            <v>1.11.7.</v>
          </cell>
          <cell r="G1726" t="str">
            <v xml:space="preserve">Cerâmica laser cinza 50 x 50 da PORTOBELLO ou similar  </v>
          </cell>
          <cell r="H1726" t="str">
            <v xml:space="preserve">m2    </v>
          </cell>
          <cell r="I1726">
            <v>955</v>
          </cell>
          <cell r="J1726">
            <v>55.7</v>
          </cell>
          <cell r="K1726">
            <v>77.14</v>
          </cell>
          <cell r="L1726">
            <v>53193.5</v>
          </cell>
        </row>
        <row r="1727">
          <cell r="D1727" t="str">
            <v xml:space="preserve">  K. 62.            </v>
          </cell>
          <cell r="E1727" t="str">
            <v>CP1747</v>
          </cell>
          <cell r="F1727" t="str">
            <v>1.11.8.</v>
          </cell>
          <cell r="G1727" t="str">
            <v xml:space="preserve">Cerâmica antiderrapante gradino laser cinza 50 x 50 da PORTOBELLO ou similar  </v>
          </cell>
          <cell r="H1727" t="str">
            <v xml:space="preserve">m2    </v>
          </cell>
          <cell r="I1727">
            <v>314</v>
          </cell>
          <cell r="J1727">
            <v>54.66</v>
          </cell>
          <cell r="K1727">
            <v>153.5</v>
          </cell>
          <cell r="L1727">
            <v>17163.240000000002</v>
          </cell>
        </row>
        <row r="1728">
          <cell r="D1728" t="str">
            <v xml:space="preserve">  K. 63.            </v>
          </cell>
          <cell r="E1728" t="str">
            <v>CP0128</v>
          </cell>
          <cell r="F1728" t="str">
            <v>1.11.9.</v>
          </cell>
          <cell r="G1728" t="str">
            <v xml:space="preserve">Cimentado rústico, esp. 3cm, com junta plástica  </v>
          </cell>
          <cell r="H1728" t="str">
            <v xml:space="preserve">m2    </v>
          </cell>
          <cell r="I1728">
            <v>33</v>
          </cell>
          <cell r="J1728">
            <v>16.27</v>
          </cell>
          <cell r="K1728">
            <v>13.82</v>
          </cell>
          <cell r="L1728">
            <v>536.91</v>
          </cell>
        </row>
        <row r="1729">
          <cell r="D1729" t="str">
            <v xml:space="preserve">  K. 64.            </v>
          </cell>
          <cell r="E1729" t="str">
            <v xml:space="preserve">      </v>
          </cell>
          <cell r="F1729" t="str">
            <v>1.12.</v>
          </cell>
          <cell r="G1729" t="str">
            <v xml:space="preserve">Esquadrias:  </v>
          </cell>
          <cell r="H1729" t="str">
            <v xml:space="preserve">      </v>
          </cell>
          <cell r="I1729">
            <v>0</v>
          </cell>
          <cell r="J1729">
            <v>0</v>
          </cell>
          <cell r="K1729">
            <v>0</v>
          </cell>
          <cell r="L1729">
            <v>0</v>
          </cell>
        </row>
        <row r="1730">
          <cell r="D1730" t="str">
            <v xml:space="preserve">  K. 65.            </v>
          </cell>
          <cell r="E1730" t="str">
            <v>CP0330</v>
          </cell>
          <cell r="F1730" t="str">
            <v>1.12.1.</v>
          </cell>
          <cell r="G1730" t="str">
            <v xml:space="preserve">Esquadria em alumínio anodizado preto fachada-cortina glazing, inclusive acessórios, conforme projeto  </v>
          </cell>
          <cell r="H1730" t="str">
            <v xml:space="preserve">m2    </v>
          </cell>
          <cell r="I1730">
            <v>153</v>
          </cell>
          <cell r="J1730">
            <v>615.86</v>
          </cell>
          <cell r="K1730">
            <v>674.5</v>
          </cell>
          <cell r="L1730">
            <v>94226.58</v>
          </cell>
        </row>
        <row r="1731">
          <cell r="D1731" t="str">
            <v xml:space="preserve">  K. 66.            </v>
          </cell>
          <cell r="E1731" t="str">
            <v>CP0330</v>
          </cell>
          <cell r="F1731" t="str">
            <v>1.12.2.</v>
          </cell>
          <cell r="G1731" t="str">
            <v xml:space="preserve">Esquadria em alumínio anodizado preto fachada-cortina glazing, maxim-ar, inclusive acessórios, conforme projeto  </v>
          </cell>
          <cell r="H1731" t="str">
            <v xml:space="preserve">m2    </v>
          </cell>
          <cell r="I1731">
            <v>62</v>
          </cell>
          <cell r="J1731">
            <v>615.86</v>
          </cell>
          <cell r="K1731">
            <v>517.29999999999995</v>
          </cell>
          <cell r="L1731">
            <v>38183.32</v>
          </cell>
        </row>
        <row r="1732">
          <cell r="D1732" t="str">
            <v xml:space="preserve">  K. 67.            </v>
          </cell>
          <cell r="E1732" t="str">
            <v>CP0328</v>
          </cell>
          <cell r="F1732" t="str">
            <v>1.12.3.</v>
          </cell>
          <cell r="G1732" t="str">
            <v xml:space="preserve">Esquadria em alumínio anodizado preto, maxim-ar, inclusive acessórios, conforme projeto  </v>
          </cell>
          <cell r="H1732" t="str">
            <v xml:space="preserve">m2    </v>
          </cell>
          <cell r="I1732">
            <v>110</v>
          </cell>
          <cell r="J1732">
            <v>509.31</v>
          </cell>
          <cell r="K1732">
            <v>425.6</v>
          </cell>
          <cell r="L1732">
            <v>56024.1</v>
          </cell>
        </row>
        <row r="1733">
          <cell r="D1733" t="str">
            <v xml:space="preserve">  K. 68.            </v>
          </cell>
          <cell r="E1733" t="str">
            <v>CP0111</v>
          </cell>
          <cell r="F1733" t="str">
            <v>1.12.4.</v>
          </cell>
          <cell r="G1733" t="str">
            <v xml:space="preserve">Esquadria em alumínio anodizado preto, de correr, inclusive acessórios, conforme projeto  </v>
          </cell>
          <cell r="H1733" t="str">
            <v xml:space="preserve">m2    </v>
          </cell>
          <cell r="I1733">
            <v>124</v>
          </cell>
          <cell r="J1733">
            <v>507.53</v>
          </cell>
          <cell r="K1733">
            <v>517.29999999999995</v>
          </cell>
          <cell r="L1733">
            <v>62933.72</v>
          </cell>
        </row>
        <row r="1734">
          <cell r="D1734" t="str">
            <v xml:space="preserve">  K. 69.            </v>
          </cell>
          <cell r="E1734" t="str">
            <v xml:space="preserve">      </v>
          </cell>
          <cell r="F1734" t="str">
            <v>1.13.</v>
          </cell>
          <cell r="G1734" t="str">
            <v xml:space="preserve">Portas, inclusive marcos, alizares, ferragens e pintura  </v>
          </cell>
          <cell r="H1734" t="str">
            <v xml:space="preserve">      </v>
          </cell>
          <cell r="I1734">
            <v>0</v>
          </cell>
          <cell r="J1734">
            <v>0</v>
          </cell>
          <cell r="K1734">
            <v>0</v>
          </cell>
          <cell r="L1734">
            <v>0</v>
          </cell>
        </row>
        <row r="1735">
          <cell r="D1735" t="str">
            <v xml:space="preserve">  K. 70.            </v>
          </cell>
          <cell r="E1735" t="str">
            <v>CP0326</v>
          </cell>
          <cell r="F1735" t="str">
            <v>1.13.1.</v>
          </cell>
          <cell r="G1735" t="str">
            <v xml:space="preserve">Porta de correr em alumínio anodizado preto 360 x 210  </v>
          </cell>
          <cell r="H1735" t="str">
            <v xml:space="preserve">un    </v>
          </cell>
          <cell r="I1735">
            <v>1</v>
          </cell>
          <cell r="J1735">
            <v>4855.87</v>
          </cell>
          <cell r="K1735">
            <v>4073.18</v>
          </cell>
          <cell r="L1735">
            <v>4855.87</v>
          </cell>
        </row>
        <row r="1736">
          <cell r="D1736" t="str">
            <v xml:space="preserve">  K. 71.            </v>
          </cell>
          <cell r="E1736" t="str">
            <v>CP0324</v>
          </cell>
          <cell r="F1736" t="str">
            <v>1.13.2.</v>
          </cell>
          <cell r="G1736" t="str">
            <v xml:space="preserve">Porta prancheta 80 x 210, revestida com esmalte  </v>
          </cell>
          <cell r="H1736" t="str">
            <v xml:space="preserve">un    </v>
          </cell>
          <cell r="I1736">
            <v>17</v>
          </cell>
          <cell r="J1736">
            <v>406.91</v>
          </cell>
          <cell r="K1736">
            <v>340.25</v>
          </cell>
          <cell r="L1736">
            <v>6917.47</v>
          </cell>
        </row>
        <row r="1737">
          <cell r="D1737" t="str">
            <v xml:space="preserve">  K. 72.            </v>
          </cell>
          <cell r="E1737" t="str">
            <v>CP0321</v>
          </cell>
          <cell r="F1737" t="str">
            <v>1.13.3.</v>
          </cell>
          <cell r="G1737" t="str">
            <v xml:space="preserve">Porta prancheta 70 x 210, revestida com esmalte  </v>
          </cell>
          <cell r="H1737" t="str">
            <v xml:space="preserve">un    </v>
          </cell>
          <cell r="I1737">
            <v>14</v>
          </cell>
          <cell r="J1737">
            <v>406.56</v>
          </cell>
          <cell r="K1737">
            <v>340.25</v>
          </cell>
          <cell r="L1737">
            <v>5691.84</v>
          </cell>
        </row>
        <row r="1738">
          <cell r="D1738" t="str">
            <v xml:space="preserve">  K. 73.            </v>
          </cell>
          <cell r="E1738" t="str">
            <v>CP0320</v>
          </cell>
          <cell r="F1738" t="str">
            <v>1.13.4.</v>
          </cell>
          <cell r="G1738" t="str">
            <v xml:space="preserve">Porta prancheta 100 x 210, revestida com esmalte  </v>
          </cell>
          <cell r="H1738" t="str">
            <v xml:space="preserve">un    </v>
          </cell>
          <cell r="I1738">
            <v>7</v>
          </cell>
          <cell r="J1738">
            <v>417.1</v>
          </cell>
          <cell r="K1738">
            <v>349.23</v>
          </cell>
          <cell r="L1738">
            <v>2919.7</v>
          </cell>
        </row>
        <row r="1739">
          <cell r="D1739" t="str">
            <v xml:space="preserve">  K. 74.            </v>
          </cell>
          <cell r="E1739" t="str">
            <v>CP0319</v>
          </cell>
          <cell r="F1739" t="str">
            <v>1.13.5.</v>
          </cell>
          <cell r="G1739" t="str">
            <v xml:space="preserve">Porta mista em alumínio anodizado preto 80 x 210  </v>
          </cell>
          <cell r="H1739" t="str">
            <v xml:space="preserve">un    </v>
          </cell>
          <cell r="I1739">
            <v>2</v>
          </cell>
          <cell r="J1739">
            <v>1210.29</v>
          </cell>
          <cell r="K1739">
            <v>1014.61</v>
          </cell>
          <cell r="L1739">
            <v>2420.58</v>
          </cell>
        </row>
        <row r="1740">
          <cell r="D1740" t="str">
            <v xml:space="preserve">  K. 75.            </v>
          </cell>
          <cell r="E1740" t="str">
            <v>CP0317</v>
          </cell>
          <cell r="F1740" t="str">
            <v>1.13.6.</v>
          </cell>
          <cell r="G1740" t="str">
            <v xml:space="preserve">Porta 2 folhas vai-vem em aço escovado (1,40 x 2,10)  </v>
          </cell>
          <cell r="H1740" t="str">
            <v xml:space="preserve">un    </v>
          </cell>
          <cell r="I1740">
            <v>1</v>
          </cell>
          <cell r="J1740">
            <v>4593.75</v>
          </cell>
          <cell r="K1740">
            <v>4470.72</v>
          </cell>
          <cell r="L1740">
            <v>4593.75</v>
          </cell>
        </row>
        <row r="1741">
          <cell r="D1741" t="str">
            <v xml:space="preserve">  K. 76.            </v>
          </cell>
          <cell r="E1741" t="str">
            <v xml:space="preserve">      </v>
          </cell>
          <cell r="F1741" t="str">
            <v>1.14.</v>
          </cell>
          <cell r="G1741" t="str">
            <v xml:space="preserve">Vidros  </v>
          </cell>
          <cell r="H1741" t="str">
            <v xml:space="preserve">      </v>
          </cell>
          <cell r="I1741">
            <v>0</v>
          </cell>
          <cell r="J1741">
            <v>0</v>
          </cell>
          <cell r="K1741">
            <v>0</v>
          </cell>
          <cell r="L1741">
            <v>0</v>
          </cell>
        </row>
        <row r="1742">
          <cell r="D1742" t="str">
            <v xml:space="preserve">  K. 77.            </v>
          </cell>
          <cell r="E1742" t="str">
            <v>CP0316</v>
          </cell>
          <cell r="F1742" t="str">
            <v>1.14.1.</v>
          </cell>
          <cell r="G1742" t="str">
            <v xml:space="preserve">Vidro temperado fumê, espessura 8 mm  </v>
          </cell>
          <cell r="H1742" t="str">
            <v xml:space="preserve">m2    </v>
          </cell>
          <cell r="I1742">
            <v>241</v>
          </cell>
          <cell r="J1742">
            <v>276.72000000000003</v>
          </cell>
          <cell r="K1742">
            <v>232.33</v>
          </cell>
          <cell r="L1742">
            <v>66689.52</v>
          </cell>
        </row>
        <row r="1743">
          <cell r="D1743" t="str">
            <v xml:space="preserve">  K. 78.            </v>
          </cell>
          <cell r="E1743" t="str">
            <v>CP0315</v>
          </cell>
          <cell r="F1743" t="str">
            <v>1.14.2.</v>
          </cell>
          <cell r="G1743" t="str">
            <v xml:space="preserve">Vidro temperado fumê, espessura 6 mm  </v>
          </cell>
          <cell r="H1743" t="str">
            <v xml:space="preserve">m2    </v>
          </cell>
          <cell r="I1743">
            <v>168</v>
          </cell>
          <cell r="J1743">
            <v>242.09</v>
          </cell>
          <cell r="K1743">
            <v>202.07</v>
          </cell>
          <cell r="L1743">
            <v>40671.120000000003</v>
          </cell>
        </row>
        <row r="1744">
          <cell r="D1744" t="str">
            <v xml:space="preserve">  K. 79.            </v>
          </cell>
          <cell r="E1744" t="str">
            <v>CP0136</v>
          </cell>
          <cell r="F1744" t="str">
            <v>1.14.3.</v>
          </cell>
          <cell r="G1744" t="str">
            <v xml:space="preserve">Vidro temperado fumê, espessura 4 mm  </v>
          </cell>
          <cell r="H1744" t="str">
            <v xml:space="preserve">m2    </v>
          </cell>
          <cell r="I1744">
            <v>48</v>
          </cell>
          <cell r="J1744">
            <v>189.24</v>
          </cell>
          <cell r="K1744">
            <v>158.84</v>
          </cell>
          <cell r="L1744">
            <v>9083.52</v>
          </cell>
        </row>
        <row r="1745">
          <cell r="D1745" t="str">
            <v xml:space="preserve">  K. 80.            </v>
          </cell>
          <cell r="E1745" t="str">
            <v xml:space="preserve">      </v>
          </cell>
          <cell r="F1745" t="str">
            <v>1.15.</v>
          </cell>
          <cell r="G1745" t="str">
            <v xml:space="preserve">Teto  </v>
          </cell>
          <cell r="H1745" t="str">
            <v xml:space="preserve">      </v>
          </cell>
          <cell r="I1745">
            <v>0</v>
          </cell>
          <cell r="J1745">
            <v>0</v>
          </cell>
          <cell r="K1745">
            <v>0</v>
          </cell>
          <cell r="L1745">
            <v>0</v>
          </cell>
        </row>
        <row r="1746">
          <cell r="D1746" t="str">
            <v xml:space="preserve">  K. 81.            </v>
          </cell>
          <cell r="E1746" t="str">
            <v>CP0310</v>
          </cell>
          <cell r="F1746" t="str">
            <v>1.15.1.</v>
          </cell>
          <cell r="G1746" t="str">
            <v xml:space="preserve">Forro de PVC  </v>
          </cell>
          <cell r="H1746" t="str">
            <v xml:space="preserve">m2    </v>
          </cell>
          <cell r="I1746">
            <v>1141</v>
          </cell>
          <cell r="J1746">
            <v>41.47</v>
          </cell>
          <cell r="K1746">
            <v>34.79</v>
          </cell>
          <cell r="L1746">
            <v>47317.27</v>
          </cell>
        </row>
        <row r="1747">
          <cell r="D1747" t="str">
            <v xml:space="preserve">  K. 82.            </v>
          </cell>
          <cell r="E1747" t="str">
            <v xml:space="preserve">      </v>
          </cell>
          <cell r="F1747" t="str">
            <v>1.16.</v>
          </cell>
          <cell r="G1747" t="str">
            <v xml:space="preserve">Acabamentos diversos / equipamentos:  </v>
          </cell>
          <cell r="H1747" t="str">
            <v xml:space="preserve">      </v>
          </cell>
          <cell r="I1747">
            <v>0</v>
          </cell>
          <cell r="J1747">
            <v>0</v>
          </cell>
          <cell r="K1747">
            <v>0</v>
          </cell>
          <cell r="L1747">
            <v>0</v>
          </cell>
        </row>
        <row r="1748">
          <cell r="D1748" t="str">
            <v xml:space="preserve">  K. 83.            </v>
          </cell>
          <cell r="E1748" t="str">
            <v>CP0309</v>
          </cell>
          <cell r="F1748" t="str">
            <v>1.16.1.</v>
          </cell>
          <cell r="G1748" t="str">
            <v xml:space="preserve">Toldo em policarbonato, espessura = 6 mm, inclusive tirantes, estrutura de apoio e acessórios para fixação  </v>
          </cell>
          <cell r="H1748" t="str">
            <v xml:space="preserve">m2    </v>
          </cell>
          <cell r="I1748">
            <v>51</v>
          </cell>
          <cell r="J1748">
            <v>419.67</v>
          </cell>
          <cell r="K1748">
            <v>414.56</v>
          </cell>
          <cell r="L1748">
            <v>21403.17</v>
          </cell>
        </row>
        <row r="1749">
          <cell r="D1749" t="str">
            <v xml:space="preserve">  K. 84.            </v>
          </cell>
          <cell r="E1749" t="str">
            <v>CP0308</v>
          </cell>
          <cell r="F1749" t="str">
            <v>1.16.2.</v>
          </cell>
          <cell r="G1749" t="str">
            <v xml:space="preserve">Brise vertical  </v>
          </cell>
          <cell r="H1749" t="str">
            <v xml:space="preserve">m2    </v>
          </cell>
          <cell r="I1749">
            <v>35</v>
          </cell>
          <cell r="J1749">
            <v>555.29</v>
          </cell>
          <cell r="K1749">
            <v>464.83</v>
          </cell>
          <cell r="L1749">
            <v>19435.150000000001</v>
          </cell>
        </row>
        <row r="1750">
          <cell r="D1750" t="str">
            <v xml:space="preserve">  K. 85.            </v>
          </cell>
          <cell r="E1750" t="str">
            <v>CP0305</v>
          </cell>
          <cell r="F1750" t="str">
            <v>1.16.3.</v>
          </cell>
          <cell r="G1750" t="str">
            <v xml:space="preserve">Friso em canaleta de alumínio anodizado material 2 cm x 1,5 cm (b x h)  </v>
          </cell>
          <cell r="H1750" t="str">
            <v xml:space="preserve">m     </v>
          </cell>
          <cell r="I1750">
            <v>356</v>
          </cell>
          <cell r="J1750">
            <v>24.77</v>
          </cell>
          <cell r="K1750">
            <v>35.380000000000003</v>
          </cell>
          <cell r="L1750">
            <v>8818.1200000000008</v>
          </cell>
        </row>
        <row r="1751">
          <cell r="D1751" t="str">
            <v xml:space="preserve">  K. 86.            </v>
          </cell>
          <cell r="E1751" t="str">
            <v>CP0352</v>
          </cell>
          <cell r="F1751" t="str">
            <v>1.16.4.</v>
          </cell>
          <cell r="G1751" t="str">
            <v xml:space="preserve">Guarda-corpo em tubo cromado ø 2 e metalon ø 3,5 x 3,5 cm, inclusive montantes em chapa de aço escovado e acessórios para fixação, conforme projeto  </v>
          </cell>
          <cell r="H1751" t="str">
            <v xml:space="preserve">m     </v>
          </cell>
          <cell r="I1751">
            <v>54</v>
          </cell>
          <cell r="J1751">
            <v>126.36</v>
          </cell>
          <cell r="K1751">
            <v>155.30000000000001</v>
          </cell>
          <cell r="L1751">
            <v>6823.44</v>
          </cell>
        </row>
        <row r="1752">
          <cell r="D1752" t="str">
            <v xml:space="preserve">  K. 87.            </v>
          </cell>
          <cell r="E1752" t="str">
            <v>CP0300</v>
          </cell>
          <cell r="F1752" t="str">
            <v>1.16.5.</v>
          </cell>
          <cell r="G1752" t="str">
            <v xml:space="preserve">Divisórias em granito cinza andorinha, e = 3 cm, h = 1,88 cm  </v>
          </cell>
          <cell r="H1752" t="str">
            <v xml:space="preserve">m2    </v>
          </cell>
          <cell r="I1752">
            <v>122</v>
          </cell>
          <cell r="J1752">
            <v>286</v>
          </cell>
          <cell r="K1752">
            <v>408.57</v>
          </cell>
          <cell r="L1752">
            <v>34892</v>
          </cell>
        </row>
        <row r="1753">
          <cell r="D1753" t="str">
            <v xml:space="preserve">  K. 88.            </v>
          </cell>
          <cell r="E1753" t="str">
            <v>CP0298</v>
          </cell>
          <cell r="F1753" t="str">
            <v>1.16.6.</v>
          </cell>
          <cell r="G1753" t="str">
            <v xml:space="preserve">Bancada e rodabancada em granito cinza andorinha, e = 2 cm  </v>
          </cell>
          <cell r="H1753" t="str">
            <v xml:space="preserve">m2    </v>
          </cell>
          <cell r="I1753">
            <v>47</v>
          </cell>
          <cell r="J1753">
            <v>227.08</v>
          </cell>
          <cell r="K1753">
            <v>259.23</v>
          </cell>
          <cell r="L1753">
            <v>10672.76</v>
          </cell>
        </row>
        <row r="1754">
          <cell r="D1754" t="str">
            <v xml:space="preserve">  K. 89.            </v>
          </cell>
          <cell r="E1754" t="str">
            <v>CP0297</v>
          </cell>
          <cell r="F1754" t="str">
            <v>1.16.7.</v>
          </cell>
          <cell r="G1754" t="str">
            <v xml:space="preserve">Prateleiras em mármore, e = 2 cm  </v>
          </cell>
          <cell r="H1754" t="str">
            <v xml:space="preserve">m2    </v>
          </cell>
          <cell r="I1754">
            <v>17</v>
          </cell>
          <cell r="J1754">
            <v>242.53</v>
          </cell>
          <cell r="K1754">
            <v>250.72</v>
          </cell>
          <cell r="L1754">
            <v>4123.01</v>
          </cell>
        </row>
        <row r="1755">
          <cell r="D1755" t="str">
            <v xml:space="preserve">  K. 90.            </v>
          </cell>
          <cell r="E1755" t="str">
            <v>CP0295</v>
          </cell>
          <cell r="F1755" t="str">
            <v>1.16.8.</v>
          </cell>
          <cell r="G1755" t="str">
            <v xml:space="preserve">Soleira em granito cinza andorinha, e = 3 cm  </v>
          </cell>
          <cell r="H1755" t="str">
            <v xml:space="preserve">m     </v>
          </cell>
          <cell r="I1755">
            <v>12</v>
          </cell>
          <cell r="J1755">
            <v>65.680000000000007</v>
          </cell>
          <cell r="K1755">
            <v>93.83</v>
          </cell>
          <cell r="L1755">
            <v>788.16</v>
          </cell>
        </row>
        <row r="1756">
          <cell r="D1756" t="str">
            <v xml:space="preserve">  K. 91.            </v>
          </cell>
          <cell r="E1756" t="str">
            <v>CP0294</v>
          </cell>
          <cell r="F1756" t="str">
            <v>1.16.9.</v>
          </cell>
          <cell r="G1756" t="str">
            <v xml:space="preserve">Recobrimento de mictório em chapa de aço inox no 20  </v>
          </cell>
          <cell r="H1756" t="str">
            <v xml:space="preserve">m2    </v>
          </cell>
          <cell r="I1756">
            <v>9</v>
          </cell>
          <cell r="J1756">
            <v>1034.9000000000001</v>
          </cell>
          <cell r="K1756">
            <v>1294.9000000000001</v>
          </cell>
          <cell r="L1756">
            <v>9314.1</v>
          </cell>
        </row>
        <row r="1757">
          <cell r="D1757" t="str">
            <v xml:space="preserve">  K. 92.            </v>
          </cell>
          <cell r="E1757" t="str">
            <v>CP0293</v>
          </cell>
          <cell r="F1757" t="str">
            <v>1.16.10.</v>
          </cell>
          <cell r="G1757" t="str">
            <v xml:space="preserve">Corre bandeja, com trilhos em tubo de aço inox ø 3/4  </v>
          </cell>
          <cell r="H1757" t="str">
            <v xml:space="preserve">un    </v>
          </cell>
          <cell r="I1757">
            <v>1</v>
          </cell>
          <cell r="J1757">
            <v>1342.37</v>
          </cell>
          <cell r="K1757">
            <v>1121.6600000000001</v>
          </cell>
          <cell r="L1757">
            <v>1342.37</v>
          </cell>
        </row>
        <row r="1758">
          <cell r="D1758" t="str">
            <v xml:space="preserve">  K. 93.            </v>
          </cell>
          <cell r="E1758" t="str">
            <v>CP0292</v>
          </cell>
          <cell r="F1758" t="str">
            <v>1.16.11.</v>
          </cell>
          <cell r="G1758" t="str">
            <v xml:space="preserve">Fechamento em fórmica compensado  </v>
          </cell>
          <cell r="H1758" t="str">
            <v xml:space="preserve">m2    </v>
          </cell>
          <cell r="I1758">
            <v>2</v>
          </cell>
          <cell r="J1758">
            <v>135.94</v>
          </cell>
          <cell r="K1758">
            <v>113.27</v>
          </cell>
          <cell r="L1758">
            <v>271.88</v>
          </cell>
        </row>
        <row r="1759">
          <cell r="D1759" t="str">
            <v xml:space="preserve">  K. 94.            </v>
          </cell>
          <cell r="E1759" t="str">
            <v>CP0291</v>
          </cell>
          <cell r="F1759" t="str">
            <v>1.16.12.</v>
          </cell>
          <cell r="G1759" t="str">
            <v xml:space="preserve">Tubos cromados ø 2, inclusive acessórios de fixação  </v>
          </cell>
          <cell r="H1759" t="str">
            <v xml:space="preserve">m     </v>
          </cell>
          <cell r="I1759">
            <v>4</v>
          </cell>
          <cell r="J1759">
            <v>155.47999999999999</v>
          </cell>
          <cell r="K1759">
            <v>222.11</v>
          </cell>
          <cell r="L1759">
            <v>621.91999999999996</v>
          </cell>
        </row>
        <row r="1760">
          <cell r="D1760" t="str">
            <v xml:space="preserve">  K. 95.            </v>
          </cell>
          <cell r="E1760" t="str">
            <v>CP0289</v>
          </cell>
          <cell r="F1760" t="str">
            <v>1.16.13.</v>
          </cell>
          <cell r="G1760" t="str">
            <v xml:space="preserve">Prateleiras em vidro, e = 5 mm  </v>
          </cell>
          <cell r="H1760" t="str">
            <v xml:space="preserve">m2    </v>
          </cell>
          <cell r="I1760">
            <v>2</v>
          </cell>
          <cell r="J1760">
            <v>123.12</v>
          </cell>
          <cell r="K1760">
            <v>175.88</v>
          </cell>
          <cell r="L1760">
            <v>246.24</v>
          </cell>
        </row>
        <row r="1761">
          <cell r="D1761" t="str">
            <v xml:space="preserve">  K. 96.            </v>
          </cell>
          <cell r="E1761" t="str">
            <v>CP0288</v>
          </cell>
          <cell r="F1761" t="str">
            <v>1.16.14.</v>
          </cell>
          <cell r="G1761" t="str">
            <v xml:space="preserve">Revestimento em chapa de aço escovado  </v>
          </cell>
          <cell r="H1761" t="str">
            <v xml:space="preserve">m2    </v>
          </cell>
          <cell r="I1761">
            <v>13</v>
          </cell>
          <cell r="J1761">
            <v>745.32</v>
          </cell>
          <cell r="K1761">
            <v>852.17</v>
          </cell>
          <cell r="L1761">
            <v>9689.16</v>
          </cell>
        </row>
        <row r="1762">
          <cell r="D1762" t="str">
            <v xml:space="preserve">  K. 97.            </v>
          </cell>
          <cell r="E1762" t="str">
            <v>CP0287</v>
          </cell>
          <cell r="F1762" t="str">
            <v>1.16.15.</v>
          </cell>
          <cell r="G1762" t="str">
            <v xml:space="preserve">Espelho cristal com fixação para furo Finesson  </v>
          </cell>
          <cell r="H1762" t="str">
            <v xml:space="preserve">m2    </v>
          </cell>
          <cell r="I1762">
            <v>16</v>
          </cell>
          <cell r="J1762">
            <v>231.1</v>
          </cell>
          <cell r="K1762">
            <v>194.07</v>
          </cell>
          <cell r="L1762">
            <v>3697.6</v>
          </cell>
        </row>
        <row r="1763">
          <cell r="D1763" t="str">
            <v xml:space="preserve">  K. 98.            </v>
          </cell>
          <cell r="E1763" t="str">
            <v>CP0286</v>
          </cell>
          <cell r="F1763" t="str">
            <v>1.16.16.</v>
          </cell>
          <cell r="G1763" t="str">
            <v xml:space="preserve">Ajardinamento, conforme projeto  </v>
          </cell>
          <cell r="H1763" t="str">
            <v xml:space="preserve">m2    </v>
          </cell>
          <cell r="I1763">
            <v>17</v>
          </cell>
          <cell r="J1763">
            <v>55.03</v>
          </cell>
          <cell r="K1763">
            <v>77.45</v>
          </cell>
          <cell r="L1763">
            <v>935.51</v>
          </cell>
        </row>
        <row r="1764">
          <cell r="D1764" t="str">
            <v xml:space="preserve">  K. 99.            </v>
          </cell>
          <cell r="E1764" t="str">
            <v>CP0285</v>
          </cell>
          <cell r="F1764" t="str">
            <v>1.16.17.</v>
          </cell>
          <cell r="G1764" t="str">
            <v xml:space="preserve">Elevador, capacidade 8 pessoas  </v>
          </cell>
          <cell r="H1764" t="str">
            <v xml:space="preserve">un    </v>
          </cell>
          <cell r="I1764">
            <v>1</v>
          </cell>
          <cell r="J1764">
            <v>110957</v>
          </cell>
          <cell r="K1764">
            <v>158510</v>
          </cell>
          <cell r="L1764">
            <v>110957</v>
          </cell>
        </row>
        <row r="1765">
          <cell r="D1765" t="str">
            <v xml:space="preserve">  K.100.            </v>
          </cell>
          <cell r="E1765" t="str">
            <v xml:space="preserve">      </v>
          </cell>
          <cell r="F1765" t="str">
            <v>1.17.</v>
          </cell>
          <cell r="G1765" t="str">
            <v xml:space="preserve">Cobertura:  </v>
          </cell>
          <cell r="H1765" t="str">
            <v xml:space="preserve">      </v>
          </cell>
          <cell r="I1765">
            <v>0</v>
          </cell>
          <cell r="J1765">
            <v>0</v>
          </cell>
          <cell r="K1765">
            <v>0</v>
          </cell>
          <cell r="L1765">
            <v>0</v>
          </cell>
        </row>
        <row r="1766">
          <cell r="D1766" t="str">
            <v xml:space="preserve">  K.101.            </v>
          </cell>
          <cell r="E1766" t="str">
            <v>CP0133</v>
          </cell>
          <cell r="F1766" t="str">
            <v>1.17.1.</v>
          </cell>
          <cell r="G1766" t="str">
            <v xml:space="preserve">Calha em chapa galvanizada MSG 16  </v>
          </cell>
          <cell r="H1766" t="str">
            <v xml:space="preserve">m     </v>
          </cell>
          <cell r="I1766">
            <v>125</v>
          </cell>
          <cell r="J1766">
            <v>106.29</v>
          </cell>
          <cell r="K1766">
            <v>233.63</v>
          </cell>
          <cell r="L1766">
            <v>13286.25</v>
          </cell>
        </row>
        <row r="1767">
          <cell r="D1767" t="str">
            <v xml:space="preserve">  K.102.            </v>
          </cell>
          <cell r="E1767" t="str">
            <v>CP0276</v>
          </cell>
          <cell r="F1767" t="str">
            <v>1.17.2.</v>
          </cell>
          <cell r="G1767" t="str">
            <v xml:space="preserve">Rufo em chapa galvanizada  </v>
          </cell>
          <cell r="H1767" t="str">
            <v xml:space="preserve">m     </v>
          </cell>
          <cell r="I1767">
            <v>36</v>
          </cell>
          <cell r="J1767">
            <v>36.020000000000003</v>
          </cell>
          <cell r="K1767">
            <v>51.45</v>
          </cell>
          <cell r="L1767">
            <v>1296.72</v>
          </cell>
        </row>
        <row r="1768">
          <cell r="D1768" t="str">
            <v xml:space="preserve">  K.103.            </v>
          </cell>
          <cell r="E1768" t="str">
            <v xml:space="preserve">      </v>
          </cell>
          <cell r="F1768" t="str">
            <v>1.18.</v>
          </cell>
          <cell r="G1768" t="str">
            <v xml:space="preserve">Limpeza de obra:  </v>
          </cell>
          <cell r="H1768" t="str">
            <v xml:space="preserve">      </v>
          </cell>
          <cell r="I1768">
            <v>0</v>
          </cell>
          <cell r="J1768">
            <v>0</v>
          </cell>
          <cell r="K1768">
            <v>0</v>
          </cell>
          <cell r="L1768">
            <v>0</v>
          </cell>
        </row>
        <row r="1769">
          <cell r="D1769" t="str">
            <v xml:space="preserve">  K.104.            </v>
          </cell>
          <cell r="E1769" t="str">
            <v xml:space="preserve">      </v>
          </cell>
          <cell r="F1769" t="str">
            <v>1.18.1.</v>
          </cell>
          <cell r="G1769" t="str">
            <v xml:space="preserve">Remoção de entulho, inclusive bota-fora em local apropriado:  </v>
          </cell>
          <cell r="H1769" t="str">
            <v xml:space="preserve">      </v>
          </cell>
          <cell r="I1769">
            <v>0</v>
          </cell>
          <cell r="J1769">
            <v>0</v>
          </cell>
          <cell r="K1769">
            <v>0</v>
          </cell>
          <cell r="L1769">
            <v>0</v>
          </cell>
        </row>
        <row r="1770">
          <cell r="D1770" t="str">
            <v xml:space="preserve">  K.105.            </v>
          </cell>
          <cell r="E1770" t="str">
            <v>CP1085</v>
          </cell>
          <cell r="F1770" t="str">
            <v>1.18.1.1.</v>
          </cell>
          <cell r="G1770" t="str">
            <v xml:space="preserve">Carga mecânica de material em geral exceto rocha em caminhão basculante  </v>
          </cell>
          <cell r="H1770" t="str">
            <v xml:space="preserve">m3    </v>
          </cell>
          <cell r="I1770">
            <v>48</v>
          </cell>
          <cell r="J1770">
            <v>1.23</v>
          </cell>
          <cell r="K1770">
            <v>1.74</v>
          </cell>
          <cell r="L1770">
            <v>59.04</v>
          </cell>
        </row>
        <row r="1771">
          <cell r="D1771" t="str">
            <v xml:space="preserve">  K.106.            </v>
          </cell>
          <cell r="E1771" t="str">
            <v>CP1070</v>
          </cell>
          <cell r="F1771" t="str">
            <v>1.18.1.2.</v>
          </cell>
          <cell r="G1771" t="str">
            <v xml:space="preserve">Transporte mecânico de material a granel em caminhão basculante  </v>
          </cell>
          <cell r="H1771" t="str">
            <v xml:space="preserve">m3xkm </v>
          </cell>
          <cell r="I1771">
            <v>432</v>
          </cell>
          <cell r="J1771">
            <v>2.38</v>
          </cell>
          <cell r="K1771">
            <v>2.35</v>
          </cell>
          <cell r="L1771">
            <v>1028.1600000000001</v>
          </cell>
        </row>
        <row r="1772">
          <cell r="D1772" t="str">
            <v xml:space="preserve">  K.107.            </v>
          </cell>
          <cell r="E1772" t="str">
            <v>CP0633</v>
          </cell>
          <cell r="F1772" t="str">
            <v>1.18.2.</v>
          </cell>
          <cell r="G1772" t="str">
            <v xml:space="preserve">Limpeza de vidros  </v>
          </cell>
          <cell r="H1772" t="str">
            <v xml:space="preserve">m2    </v>
          </cell>
          <cell r="I1772">
            <v>457</v>
          </cell>
          <cell r="J1772">
            <v>3.47</v>
          </cell>
          <cell r="K1772">
            <v>5.47</v>
          </cell>
          <cell r="L1772">
            <v>1585.79</v>
          </cell>
        </row>
        <row r="1773">
          <cell r="D1773" t="str">
            <v xml:space="preserve">  K.108.            </v>
          </cell>
          <cell r="E1773" t="str">
            <v>CP0640</v>
          </cell>
          <cell r="F1773" t="str">
            <v>1.18.3.</v>
          </cell>
          <cell r="G1773" t="str">
            <v xml:space="preserve">Limpeza de pisos e revestimentos  </v>
          </cell>
          <cell r="H1773" t="str">
            <v xml:space="preserve">m2    </v>
          </cell>
          <cell r="I1773">
            <v>4000</v>
          </cell>
          <cell r="J1773">
            <v>3.47</v>
          </cell>
          <cell r="K1773">
            <v>4.82</v>
          </cell>
          <cell r="L1773">
            <v>13880</v>
          </cell>
        </row>
        <row r="1774">
          <cell r="D1774" t="str">
            <v xml:space="preserve">  K.109.            </v>
          </cell>
          <cell r="E1774" t="str">
            <v xml:space="preserve">      </v>
          </cell>
          <cell r="F1774" t="str">
            <v>2.</v>
          </cell>
          <cell r="G1774" t="str">
            <v xml:space="preserve">Instalações Hidráulico-Sanitárias  </v>
          </cell>
          <cell r="H1774" t="str">
            <v xml:space="preserve">      </v>
          </cell>
          <cell r="I1774">
            <v>0</v>
          </cell>
          <cell r="J1774">
            <v>0</v>
          </cell>
          <cell r="K1774">
            <v>0</v>
          </cell>
          <cell r="L1774">
            <v>0</v>
          </cell>
        </row>
        <row r="1775">
          <cell r="D1775" t="str">
            <v xml:space="preserve">  K.110.            </v>
          </cell>
          <cell r="E1775" t="str">
            <v xml:space="preserve">      </v>
          </cell>
          <cell r="F1775" t="str">
            <v>2.1.</v>
          </cell>
          <cell r="G1775" t="str">
            <v xml:space="preserve">Fornecimento de Tubos, Peças, Conexões e Aparelhos Hidráulicos  </v>
          </cell>
          <cell r="H1775" t="str">
            <v xml:space="preserve">      </v>
          </cell>
          <cell r="I1775">
            <v>0</v>
          </cell>
          <cell r="J1775">
            <v>0</v>
          </cell>
          <cell r="K1775">
            <v>0</v>
          </cell>
          <cell r="L1775">
            <v>0</v>
          </cell>
        </row>
        <row r="1776">
          <cell r="D1776" t="str">
            <v xml:space="preserve">  K.111.            </v>
          </cell>
          <cell r="E1776" t="str">
            <v xml:space="preserve">      </v>
          </cell>
          <cell r="F1776" t="str">
            <v>2.1.1.</v>
          </cell>
          <cell r="G1776" t="str">
            <v xml:space="preserve">PVC - ESGOTO  </v>
          </cell>
          <cell r="H1776" t="str">
            <v xml:space="preserve">      </v>
          </cell>
          <cell r="I1776">
            <v>0</v>
          </cell>
          <cell r="J1776">
            <v>0</v>
          </cell>
          <cell r="K1776">
            <v>0</v>
          </cell>
          <cell r="L1776">
            <v>0</v>
          </cell>
        </row>
        <row r="1777">
          <cell r="D1777" t="str">
            <v xml:space="preserve">  K.112.            </v>
          </cell>
          <cell r="E1777" t="str">
            <v xml:space="preserve">      </v>
          </cell>
          <cell r="F1777" t="str">
            <v>2.1.1.1.</v>
          </cell>
          <cell r="G1777" t="str">
            <v xml:space="preserve">Tubo de PVC branco para esgoto:  </v>
          </cell>
          <cell r="H1777" t="str">
            <v xml:space="preserve">      </v>
          </cell>
          <cell r="I1777">
            <v>0</v>
          </cell>
          <cell r="J1777">
            <v>0</v>
          </cell>
          <cell r="K1777">
            <v>0</v>
          </cell>
          <cell r="L1777">
            <v>0</v>
          </cell>
        </row>
        <row r="1778">
          <cell r="D1778" t="str">
            <v xml:space="preserve">  K.113.            </v>
          </cell>
          <cell r="E1778" t="str">
            <v>CP0665</v>
          </cell>
          <cell r="F1778" t="str">
            <v>2.1.1.1.1</v>
          </cell>
          <cell r="G1778" t="str">
            <v xml:space="preserve">Tubo de PVC branco para esgoto: DN 100  </v>
          </cell>
          <cell r="H1778" t="str">
            <v xml:space="preserve">m     </v>
          </cell>
          <cell r="I1778">
            <v>300</v>
          </cell>
          <cell r="J1778">
            <v>7.77</v>
          </cell>
          <cell r="K1778">
            <v>6.48</v>
          </cell>
          <cell r="L1778">
            <v>2331</v>
          </cell>
        </row>
        <row r="1779">
          <cell r="D1779" t="str">
            <v xml:space="preserve">  K.114.            </v>
          </cell>
          <cell r="E1779" t="str">
            <v>CP0671</v>
          </cell>
          <cell r="F1779" t="str">
            <v>2.1.1.1.2</v>
          </cell>
          <cell r="G1779" t="str">
            <v xml:space="preserve">Tubo de PVC branco para esgoto: DN 75  </v>
          </cell>
          <cell r="H1779" t="str">
            <v xml:space="preserve">m     </v>
          </cell>
          <cell r="I1779">
            <v>36</v>
          </cell>
          <cell r="J1779">
            <v>5.46</v>
          </cell>
          <cell r="K1779">
            <v>4.57</v>
          </cell>
          <cell r="L1779">
            <v>196.56</v>
          </cell>
        </row>
        <row r="1780">
          <cell r="D1780" t="str">
            <v xml:space="preserve">  K.115.            </v>
          </cell>
          <cell r="E1780" t="str">
            <v>CP0674</v>
          </cell>
          <cell r="F1780" t="str">
            <v>2.1.1.1.3</v>
          </cell>
          <cell r="G1780" t="str">
            <v xml:space="preserve">Tubo de PVC branco para esgoto: DN 50  </v>
          </cell>
          <cell r="H1780" t="str">
            <v xml:space="preserve">m     </v>
          </cell>
          <cell r="I1780">
            <v>180</v>
          </cell>
          <cell r="J1780">
            <v>3.36</v>
          </cell>
          <cell r="K1780">
            <v>2.82</v>
          </cell>
          <cell r="L1780">
            <v>604.79999999999995</v>
          </cell>
        </row>
        <row r="1781">
          <cell r="D1781" t="str">
            <v xml:space="preserve">  K.116.            </v>
          </cell>
          <cell r="E1781" t="str">
            <v>CP0678</v>
          </cell>
          <cell r="F1781" t="str">
            <v>2.1.1.1.4</v>
          </cell>
          <cell r="G1781" t="str">
            <v xml:space="preserve">Tubo de PVC branco para esgoto: DN 40  </v>
          </cell>
          <cell r="H1781" t="str">
            <v xml:space="preserve">m     </v>
          </cell>
          <cell r="I1781">
            <v>132</v>
          </cell>
          <cell r="J1781">
            <v>2.13</v>
          </cell>
          <cell r="K1781">
            <v>1.78</v>
          </cell>
          <cell r="L1781">
            <v>281.16000000000003</v>
          </cell>
        </row>
        <row r="1782">
          <cell r="D1782" t="str">
            <v xml:space="preserve">  K.117.            </v>
          </cell>
          <cell r="E1782" t="str">
            <v xml:space="preserve">      </v>
          </cell>
          <cell r="F1782" t="str">
            <v>2.1.1.2.</v>
          </cell>
          <cell r="G1782" t="str">
            <v xml:space="preserve">Joelho PVC branco tipo esgoto  </v>
          </cell>
          <cell r="H1782" t="str">
            <v xml:space="preserve">      </v>
          </cell>
          <cell r="I1782">
            <v>0</v>
          </cell>
          <cell r="J1782">
            <v>0</v>
          </cell>
          <cell r="K1782">
            <v>0</v>
          </cell>
          <cell r="L1782">
            <v>0</v>
          </cell>
        </row>
        <row r="1783">
          <cell r="D1783" t="str">
            <v xml:space="preserve">  K.118.            </v>
          </cell>
          <cell r="E1783" t="str">
            <v>CP0648</v>
          </cell>
          <cell r="F1783" t="str">
            <v>2.1.1.2.1</v>
          </cell>
          <cell r="G1783" t="str">
            <v xml:space="preserve">Joelho PVC branco tipo esgoto DN 100  </v>
          </cell>
          <cell r="H1783" t="str">
            <v xml:space="preserve">pç    </v>
          </cell>
          <cell r="I1783">
            <v>71</v>
          </cell>
          <cell r="J1783">
            <v>4.3499999999999996</v>
          </cell>
          <cell r="K1783">
            <v>3.64</v>
          </cell>
          <cell r="L1783">
            <v>308.85000000000002</v>
          </cell>
        </row>
        <row r="1784">
          <cell r="D1784" t="str">
            <v xml:space="preserve">  K.119.            </v>
          </cell>
          <cell r="E1784" t="str">
            <v>CP0653</v>
          </cell>
          <cell r="F1784" t="str">
            <v>2.1.1.2.2</v>
          </cell>
          <cell r="G1784" t="str">
            <v xml:space="preserve">Joelho PVC branco tipo esgoto DN 75  </v>
          </cell>
          <cell r="H1784" t="str">
            <v xml:space="preserve">pç    </v>
          </cell>
          <cell r="I1784">
            <v>2</v>
          </cell>
          <cell r="J1784">
            <v>1.36</v>
          </cell>
          <cell r="K1784">
            <v>1.1299999999999999</v>
          </cell>
          <cell r="L1784">
            <v>2.72</v>
          </cell>
        </row>
        <row r="1785">
          <cell r="D1785" t="str">
            <v xml:space="preserve">  K.120.            </v>
          </cell>
          <cell r="E1785" t="str">
            <v>CP0656</v>
          </cell>
          <cell r="F1785" t="str">
            <v>2.1.1.2.3</v>
          </cell>
          <cell r="G1785" t="str">
            <v xml:space="preserve">Joelho PVC branco tipo esgoto DN 50  </v>
          </cell>
          <cell r="H1785" t="str">
            <v xml:space="preserve">pç    </v>
          </cell>
          <cell r="I1785">
            <v>33</v>
          </cell>
          <cell r="J1785">
            <v>2.4500000000000002</v>
          </cell>
          <cell r="K1785">
            <v>3.5</v>
          </cell>
          <cell r="L1785">
            <v>80.849999999999994</v>
          </cell>
        </row>
        <row r="1786">
          <cell r="D1786" t="str">
            <v xml:space="preserve">  K.121.            </v>
          </cell>
          <cell r="E1786" t="str">
            <v>CP0659</v>
          </cell>
          <cell r="F1786" t="str">
            <v>2.1.1.2.4</v>
          </cell>
          <cell r="G1786" t="str">
            <v xml:space="preserve">Joelho PVC branco tipo esgoto DN 40  </v>
          </cell>
          <cell r="H1786" t="str">
            <v xml:space="preserve">pç    </v>
          </cell>
          <cell r="I1786">
            <v>45</v>
          </cell>
          <cell r="J1786">
            <v>1.03</v>
          </cell>
          <cell r="K1786">
            <v>1.06</v>
          </cell>
          <cell r="L1786">
            <v>46.35</v>
          </cell>
        </row>
        <row r="1787">
          <cell r="D1787" t="str">
            <v xml:space="preserve">  K.122.            </v>
          </cell>
          <cell r="E1787" t="str">
            <v xml:space="preserve">      </v>
          </cell>
          <cell r="F1787" t="str">
            <v>2.1.1.3.</v>
          </cell>
          <cell r="G1787" t="str">
            <v xml:space="preserve">PVC - ESGOTO Joelho 45o  </v>
          </cell>
          <cell r="H1787" t="str">
            <v xml:space="preserve">      </v>
          </cell>
          <cell r="I1787">
            <v>0</v>
          </cell>
          <cell r="J1787">
            <v>0</v>
          </cell>
          <cell r="K1787">
            <v>0</v>
          </cell>
          <cell r="L1787">
            <v>0</v>
          </cell>
        </row>
        <row r="1788">
          <cell r="D1788" t="str">
            <v xml:space="preserve">  K.123.            </v>
          </cell>
          <cell r="E1788" t="str">
            <v>CP2214</v>
          </cell>
          <cell r="F1788" t="str">
            <v>2.1.1.3.1</v>
          </cell>
          <cell r="G1788" t="str">
            <v xml:space="preserve">PVC - ESGOTO Joelho 45o DN 100  </v>
          </cell>
          <cell r="H1788" t="str">
            <v xml:space="preserve">pç    </v>
          </cell>
          <cell r="I1788">
            <v>5</v>
          </cell>
          <cell r="J1788">
            <v>4.83</v>
          </cell>
          <cell r="K1788">
            <v>5.83</v>
          </cell>
          <cell r="L1788">
            <v>24.15</v>
          </cell>
        </row>
        <row r="1789">
          <cell r="D1789" t="str">
            <v xml:space="preserve">  K.124.            </v>
          </cell>
          <cell r="E1789" t="str">
            <v>CP2282</v>
          </cell>
          <cell r="F1789" t="str">
            <v>2.1.1.3.2</v>
          </cell>
          <cell r="G1789" t="str">
            <v xml:space="preserve">PVC - ESGOTO Joelho 45o DN 50  </v>
          </cell>
          <cell r="H1789" t="str">
            <v xml:space="preserve">pç    </v>
          </cell>
          <cell r="I1789">
            <v>10</v>
          </cell>
          <cell r="J1789">
            <v>1.9</v>
          </cell>
          <cell r="K1789">
            <v>2.57</v>
          </cell>
          <cell r="L1789">
            <v>19</v>
          </cell>
        </row>
        <row r="1790">
          <cell r="D1790" t="str">
            <v xml:space="preserve">  K.125.            </v>
          </cell>
          <cell r="E1790" t="str">
            <v>CP2308</v>
          </cell>
          <cell r="F1790" t="str">
            <v>2.1.1.3.3</v>
          </cell>
          <cell r="G1790" t="str">
            <v xml:space="preserve">PVC - ESGOTO Joelho 45o DN 40  </v>
          </cell>
          <cell r="H1790" t="str">
            <v xml:space="preserve">pç    </v>
          </cell>
          <cell r="I1790">
            <v>43</v>
          </cell>
          <cell r="J1790">
            <v>1.39</v>
          </cell>
          <cell r="K1790">
            <v>1.99</v>
          </cell>
          <cell r="L1790">
            <v>59.77</v>
          </cell>
        </row>
        <row r="1791">
          <cell r="D1791" t="str">
            <v xml:space="preserve">  K.126.            </v>
          </cell>
          <cell r="E1791" t="str">
            <v>CP2254</v>
          </cell>
          <cell r="F1791" t="str">
            <v>2.1.1.3.4</v>
          </cell>
          <cell r="G1791" t="str">
            <v xml:space="preserve">PVC - ESGOTO Joelho 45o DN 40 com bolsa para anel  </v>
          </cell>
          <cell r="H1791" t="str">
            <v xml:space="preserve">pç    </v>
          </cell>
          <cell r="I1791">
            <v>43</v>
          </cell>
          <cell r="J1791">
            <v>1.41</v>
          </cell>
          <cell r="K1791">
            <v>1.9</v>
          </cell>
          <cell r="L1791">
            <v>60.63</v>
          </cell>
        </row>
        <row r="1792">
          <cell r="D1792" t="str">
            <v xml:space="preserve">  K.127.            </v>
          </cell>
          <cell r="E1792" t="str">
            <v xml:space="preserve">      </v>
          </cell>
          <cell r="F1792" t="str">
            <v>2.1.1.4.</v>
          </cell>
          <cell r="G1792" t="str">
            <v xml:space="preserve">PVC - ESGOTO Junção simples:  </v>
          </cell>
          <cell r="H1792" t="str">
            <v xml:space="preserve">      </v>
          </cell>
          <cell r="I1792">
            <v>0</v>
          </cell>
          <cell r="J1792">
            <v>0</v>
          </cell>
          <cell r="K1792">
            <v>0</v>
          </cell>
          <cell r="L1792">
            <v>0</v>
          </cell>
        </row>
        <row r="1793">
          <cell r="D1793" t="str">
            <v xml:space="preserve">  K.128.            </v>
          </cell>
          <cell r="E1793" t="str">
            <v>CP2093</v>
          </cell>
          <cell r="F1793" t="str">
            <v>2.1.1.4.1</v>
          </cell>
          <cell r="G1793" t="str">
            <v xml:space="preserve">PVC - ESGOTO Junção simples: DN 100 x 100  </v>
          </cell>
          <cell r="H1793" t="str">
            <v xml:space="preserve">pç    </v>
          </cell>
          <cell r="I1793">
            <v>9</v>
          </cell>
          <cell r="J1793">
            <v>3.33</v>
          </cell>
          <cell r="K1793">
            <v>2.78</v>
          </cell>
          <cell r="L1793">
            <v>29.97</v>
          </cell>
        </row>
        <row r="1794">
          <cell r="D1794" t="str">
            <v xml:space="preserve">  K.129.            </v>
          </cell>
          <cell r="E1794" t="str">
            <v>CP2072</v>
          </cell>
          <cell r="F1794" t="str">
            <v>2.1.1.4.2</v>
          </cell>
          <cell r="G1794" t="str">
            <v xml:space="preserve">PVC - ESGOTO Junção simples: DN 100 x 75  </v>
          </cell>
          <cell r="H1794" t="str">
            <v xml:space="preserve">pç    </v>
          </cell>
          <cell r="I1794">
            <v>1</v>
          </cell>
          <cell r="J1794">
            <v>12.16</v>
          </cell>
          <cell r="K1794">
            <v>14.65</v>
          </cell>
          <cell r="L1794">
            <v>12.16</v>
          </cell>
        </row>
        <row r="1795">
          <cell r="D1795" t="str">
            <v xml:space="preserve">  K.130.            </v>
          </cell>
          <cell r="E1795" t="str">
            <v>CP2073</v>
          </cell>
          <cell r="F1795" t="str">
            <v>2.1.1.4.3</v>
          </cell>
          <cell r="G1795" t="str">
            <v xml:space="preserve">PVC - ESGOTO Junção simples: DN 100 x 50  </v>
          </cell>
          <cell r="H1795" t="str">
            <v xml:space="preserve">pç    </v>
          </cell>
          <cell r="I1795">
            <v>12</v>
          </cell>
          <cell r="J1795">
            <v>7.79</v>
          </cell>
          <cell r="K1795">
            <v>9.42</v>
          </cell>
          <cell r="L1795">
            <v>93.48</v>
          </cell>
        </row>
        <row r="1796">
          <cell r="D1796" t="str">
            <v xml:space="preserve">  K.131.            </v>
          </cell>
          <cell r="E1796" t="str">
            <v>CP2151</v>
          </cell>
          <cell r="F1796" t="str">
            <v>2.1.1.4.4</v>
          </cell>
          <cell r="G1796" t="str">
            <v xml:space="preserve">PVC - ESGOTO Junção simples: DN 75 x 75  </v>
          </cell>
          <cell r="H1796" t="str">
            <v xml:space="preserve">pç    </v>
          </cell>
          <cell r="I1796">
            <v>1</v>
          </cell>
          <cell r="J1796">
            <v>10.01</v>
          </cell>
          <cell r="K1796">
            <v>12.08</v>
          </cell>
          <cell r="L1796">
            <v>10.01</v>
          </cell>
        </row>
        <row r="1797">
          <cell r="D1797" t="str">
            <v xml:space="preserve">  K.132.            </v>
          </cell>
          <cell r="E1797" t="str">
            <v>CP2109</v>
          </cell>
          <cell r="F1797" t="str">
            <v>2.1.1.4.5</v>
          </cell>
          <cell r="G1797" t="str">
            <v xml:space="preserve">PVC - ESGOTO Junção simples: DN 75 x 50  </v>
          </cell>
          <cell r="H1797" t="str">
            <v xml:space="preserve">pç    </v>
          </cell>
          <cell r="I1797">
            <v>1</v>
          </cell>
          <cell r="J1797">
            <v>7.14</v>
          </cell>
          <cell r="K1797">
            <v>8.65</v>
          </cell>
          <cell r="L1797">
            <v>7.14</v>
          </cell>
        </row>
        <row r="1798">
          <cell r="D1798" t="str">
            <v xml:space="preserve">  K.133.            </v>
          </cell>
          <cell r="E1798" t="str">
            <v>CP2164</v>
          </cell>
          <cell r="F1798" t="str">
            <v>2.1.1.4.6</v>
          </cell>
          <cell r="G1798" t="str">
            <v xml:space="preserve">PVC - ESGOTO Junção simples: DN 50 x 50  </v>
          </cell>
          <cell r="H1798" t="str">
            <v xml:space="preserve">pç    </v>
          </cell>
          <cell r="I1798">
            <v>7</v>
          </cell>
          <cell r="J1798">
            <v>4.62</v>
          </cell>
          <cell r="K1798">
            <v>5.57</v>
          </cell>
          <cell r="L1798">
            <v>32.340000000000003</v>
          </cell>
        </row>
        <row r="1799">
          <cell r="D1799" t="str">
            <v xml:space="preserve">  K.134.            </v>
          </cell>
          <cell r="E1799" t="str">
            <v xml:space="preserve">      </v>
          </cell>
          <cell r="F1799" t="str">
            <v>2.1.1.5.</v>
          </cell>
          <cell r="G1799" t="str">
            <v xml:space="preserve">PVC - ESGOTO Redução excêntrica:  </v>
          </cell>
          <cell r="H1799" t="str">
            <v xml:space="preserve">      </v>
          </cell>
          <cell r="I1799">
            <v>0</v>
          </cell>
          <cell r="J1799">
            <v>0</v>
          </cell>
          <cell r="K1799">
            <v>0</v>
          </cell>
          <cell r="L1799">
            <v>0</v>
          </cell>
        </row>
        <row r="1800">
          <cell r="D1800" t="str">
            <v xml:space="preserve">  K.135.            </v>
          </cell>
          <cell r="E1800" t="str">
            <v>CP2251</v>
          </cell>
          <cell r="F1800" t="str">
            <v>2.1.1.5.1</v>
          </cell>
          <cell r="G1800" t="str">
            <v xml:space="preserve">PVC - ESGOTO Redução excêntrica: DN 75 x 50  </v>
          </cell>
          <cell r="H1800" t="str">
            <v xml:space="preserve">pç    </v>
          </cell>
          <cell r="I1800">
            <v>3</v>
          </cell>
          <cell r="J1800">
            <v>3.51</v>
          </cell>
          <cell r="K1800">
            <v>4.01</v>
          </cell>
          <cell r="L1800">
            <v>10.53</v>
          </cell>
        </row>
        <row r="1801">
          <cell r="D1801" t="str">
            <v xml:space="preserve">  K.136.            </v>
          </cell>
          <cell r="E1801" t="str">
            <v xml:space="preserve">      </v>
          </cell>
          <cell r="F1801" t="str">
            <v>2.1.1.6.</v>
          </cell>
          <cell r="G1801" t="str">
            <v xml:space="preserve">PVC - ESGOTO Bucha de redução longa:  </v>
          </cell>
          <cell r="H1801" t="str">
            <v xml:space="preserve">      </v>
          </cell>
          <cell r="I1801">
            <v>0</v>
          </cell>
          <cell r="J1801">
            <v>0</v>
          </cell>
          <cell r="K1801">
            <v>0</v>
          </cell>
          <cell r="L1801">
            <v>0</v>
          </cell>
        </row>
        <row r="1802">
          <cell r="D1802" t="str">
            <v xml:space="preserve">  K.137.            </v>
          </cell>
          <cell r="E1802" t="str">
            <v>CP2307</v>
          </cell>
          <cell r="F1802" t="str">
            <v>2.1.1.6.1</v>
          </cell>
          <cell r="G1802" t="str">
            <v xml:space="preserve">PVC - ESGOTO Bucha de redução longa: DN 50 x 40  </v>
          </cell>
          <cell r="H1802" t="str">
            <v xml:space="preserve">pç    </v>
          </cell>
          <cell r="I1802">
            <v>8</v>
          </cell>
          <cell r="J1802">
            <v>1.43</v>
          </cell>
          <cell r="K1802">
            <v>2.04</v>
          </cell>
          <cell r="L1802">
            <v>11.44</v>
          </cell>
        </row>
        <row r="1803">
          <cell r="D1803" t="str">
            <v xml:space="preserve">  K.138.            </v>
          </cell>
          <cell r="E1803" t="str">
            <v xml:space="preserve">      </v>
          </cell>
          <cell r="F1803" t="str">
            <v>2.1.1.7.</v>
          </cell>
          <cell r="G1803" t="str">
            <v xml:space="preserve">PVC - ESGOTO Tê sanitário:  </v>
          </cell>
          <cell r="H1803" t="str">
            <v xml:space="preserve">      </v>
          </cell>
          <cell r="I1803">
            <v>0</v>
          </cell>
          <cell r="J1803">
            <v>0</v>
          </cell>
          <cell r="K1803">
            <v>0</v>
          </cell>
          <cell r="L1803">
            <v>0</v>
          </cell>
        </row>
        <row r="1804">
          <cell r="D1804" t="str">
            <v xml:space="preserve">  K.139.            </v>
          </cell>
          <cell r="E1804" t="str">
            <v>CP2130</v>
          </cell>
          <cell r="F1804" t="str">
            <v>2.1.1.7.1</v>
          </cell>
          <cell r="G1804" t="str">
            <v xml:space="preserve">PVC - ESGOTO Tê sanitário: DN 100 x 100  </v>
          </cell>
          <cell r="H1804" t="str">
            <v xml:space="preserve">pç    </v>
          </cell>
          <cell r="I1804">
            <v>3</v>
          </cell>
          <cell r="J1804">
            <v>9.24</v>
          </cell>
          <cell r="K1804">
            <v>11.15</v>
          </cell>
          <cell r="L1804">
            <v>27.72</v>
          </cell>
        </row>
        <row r="1805">
          <cell r="D1805" t="str">
            <v xml:space="preserve">  K.140.            </v>
          </cell>
          <cell r="E1805" t="str">
            <v>CP2237</v>
          </cell>
          <cell r="F1805" t="str">
            <v>2.1.1.7.2</v>
          </cell>
          <cell r="G1805" t="str">
            <v xml:space="preserve">PVC - ESGOTO Tê sanitário: DN 50 x 50  </v>
          </cell>
          <cell r="H1805" t="str">
            <v xml:space="preserve">pç    </v>
          </cell>
          <cell r="I1805">
            <v>22</v>
          </cell>
          <cell r="J1805">
            <v>3.52</v>
          </cell>
          <cell r="K1805">
            <v>2.95</v>
          </cell>
          <cell r="L1805">
            <v>77.44</v>
          </cell>
        </row>
        <row r="1806">
          <cell r="D1806" t="str">
            <v xml:space="preserve">  K.141.            </v>
          </cell>
          <cell r="E1806" t="str">
            <v>CP2136</v>
          </cell>
          <cell r="F1806" t="str">
            <v>2.1.1.7.3</v>
          </cell>
          <cell r="G1806" t="str">
            <v xml:space="preserve">PVC - ESGOTO Tê sanitário: de redução DN 100 x 50  </v>
          </cell>
          <cell r="H1806" t="str">
            <v xml:space="preserve">pç    </v>
          </cell>
          <cell r="I1806">
            <v>1</v>
          </cell>
          <cell r="J1806">
            <v>7.96</v>
          </cell>
          <cell r="K1806">
            <v>9.6</v>
          </cell>
          <cell r="L1806">
            <v>7.96</v>
          </cell>
        </row>
        <row r="1807">
          <cell r="D1807" t="str">
            <v xml:space="preserve">  K.142.            </v>
          </cell>
          <cell r="E1807" t="str">
            <v>CP2167</v>
          </cell>
          <cell r="F1807" t="str">
            <v>2.1.1.7.4</v>
          </cell>
          <cell r="G1807" t="str">
            <v xml:space="preserve">PVC - ESGOTO Tê sanitário: de redução DN 75 x 50  </v>
          </cell>
          <cell r="H1807" t="str">
            <v xml:space="preserve">pç    </v>
          </cell>
          <cell r="I1807">
            <v>5</v>
          </cell>
          <cell r="J1807">
            <v>6.92</v>
          </cell>
          <cell r="K1807">
            <v>8.36</v>
          </cell>
          <cell r="L1807">
            <v>34.6</v>
          </cell>
        </row>
        <row r="1808">
          <cell r="D1808" t="str">
            <v xml:space="preserve">  K.143.            </v>
          </cell>
          <cell r="E1808" t="str">
            <v xml:space="preserve">      </v>
          </cell>
          <cell r="F1808" t="str">
            <v>2.1.1.8.</v>
          </cell>
          <cell r="G1808" t="str">
            <v xml:space="preserve">PVC - ESGOTO Junção 45°  </v>
          </cell>
          <cell r="H1808" t="str">
            <v xml:space="preserve">      </v>
          </cell>
          <cell r="I1808">
            <v>0</v>
          </cell>
          <cell r="J1808">
            <v>0</v>
          </cell>
          <cell r="K1808">
            <v>0</v>
          </cell>
          <cell r="L1808">
            <v>0</v>
          </cell>
        </row>
        <row r="1809">
          <cell r="D1809" t="str">
            <v xml:space="preserve">  K.144.            </v>
          </cell>
          <cell r="E1809" t="str">
            <v>CP2245</v>
          </cell>
          <cell r="F1809" t="str">
            <v>2.1.1.8.1</v>
          </cell>
          <cell r="G1809" t="str">
            <v xml:space="preserve">PVC - ESGOTO Junção 45° DN 40  </v>
          </cell>
          <cell r="H1809" t="str">
            <v xml:space="preserve">pç    </v>
          </cell>
          <cell r="I1809">
            <v>1</v>
          </cell>
          <cell r="J1809">
            <v>1.49</v>
          </cell>
          <cell r="K1809">
            <v>1.9</v>
          </cell>
          <cell r="L1809">
            <v>1.49</v>
          </cell>
        </row>
        <row r="1810">
          <cell r="D1810" t="str">
            <v xml:space="preserve">  K.145.            </v>
          </cell>
          <cell r="E1810" t="str">
            <v xml:space="preserve">      </v>
          </cell>
          <cell r="F1810" t="str">
            <v>2.1.1.9.</v>
          </cell>
          <cell r="G1810" t="str">
            <v xml:space="preserve">PVC - ESGOTO Plug:  </v>
          </cell>
          <cell r="H1810" t="str">
            <v xml:space="preserve">      </v>
          </cell>
          <cell r="I1810">
            <v>0</v>
          </cell>
          <cell r="J1810">
            <v>0</v>
          </cell>
          <cell r="K1810">
            <v>0</v>
          </cell>
          <cell r="L1810">
            <v>0</v>
          </cell>
        </row>
        <row r="1811">
          <cell r="D1811" t="str">
            <v xml:space="preserve">  K.146.            </v>
          </cell>
          <cell r="E1811" t="str">
            <v>CP2235</v>
          </cell>
          <cell r="F1811" t="str">
            <v>2.1.1.9.1</v>
          </cell>
          <cell r="G1811" t="str">
            <v xml:space="preserve">PVC - ESGOTO Plug: DN 100  </v>
          </cell>
          <cell r="H1811" t="str">
            <v xml:space="preserve">pç    </v>
          </cell>
          <cell r="I1811">
            <v>1</v>
          </cell>
          <cell r="J1811">
            <v>2.95</v>
          </cell>
          <cell r="K1811">
            <v>3.96</v>
          </cell>
          <cell r="L1811">
            <v>2.95</v>
          </cell>
        </row>
        <row r="1812">
          <cell r="D1812" t="str">
            <v xml:space="preserve">  K.147.            </v>
          </cell>
          <cell r="E1812" t="str">
            <v>CP1991</v>
          </cell>
          <cell r="F1812" t="str">
            <v>2.1.1.10.</v>
          </cell>
          <cell r="G1812" t="str">
            <v xml:space="preserve">Vedação para saída de vaso sanitário  </v>
          </cell>
          <cell r="H1812" t="str">
            <v xml:space="preserve">pç    </v>
          </cell>
          <cell r="I1812">
            <v>18</v>
          </cell>
          <cell r="J1812">
            <v>2.6</v>
          </cell>
          <cell r="K1812">
            <v>2.17</v>
          </cell>
          <cell r="L1812">
            <v>46.8</v>
          </cell>
        </row>
        <row r="1813">
          <cell r="D1813" t="str">
            <v xml:space="preserve">  K.148.            </v>
          </cell>
          <cell r="E1813" t="str">
            <v xml:space="preserve">      </v>
          </cell>
          <cell r="F1813" t="str">
            <v>2.1.1.11.</v>
          </cell>
          <cell r="G1813" t="str">
            <v xml:space="preserve">Ralo seco completo:  </v>
          </cell>
          <cell r="H1813" t="str">
            <v xml:space="preserve">      </v>
          </cell>
          <cell r="I1813">
            <v>0</v>
          </cell>
          <cell r="J1813">
            <v>0</v>
          </cell>
          <cell r="K1813">
            <v>0</v>
          </cell>
          <cell r="L1813">
            <v>0</v>
          </cell>
        </row>
        <row r="1814">
          <cell r="D1814" t="str">
            <v xml:space="preserve">  K.149.            </v>
          </cell>
          <cell r="E1814" t="str">
            <v>CP2174</v>
          </cell>
          <cell r="F1814" t="str">
            <v>2.1.1.11.1</v>
          </cell>
          <cell r="G1814" t="str">
            <v xml:space="preserve">Ralo seco completo: 100 x 40  </v>
          </cell>
          <cell r="H1814" t="str">
            <v xml:space="preserve">pç    </v>
          </cell>
          <cell r="I1814">
            <v>12</v>
          </cell>
          <cell r="J1814">
            <v>6.28</v>
          </cell>
          <cell r="K1814">
            <v>5.27</v>
          </cell>
          <cell r="L1814">
            <v>75.36</v>
          </cell>
        </row>
        <row r="1815">
          <cell r="D1815" t="str">
            <v xml:space="preserve">  K.150.            </v>
          </cell>
          <cell r="E1815" t="str">
            <v xml:space="preserve">      </v>
          </cell>
          <cell r="F1815" t="str">
            <v>2.1.1.12.</v>
          </cell>
          <cell r="G1815" t="str">
            <v xml:space="preserve">Caixa sifonada, com grelha cromada, completa:  </v>
          </cell>
          <cell r="H1815" t="str">
            <v xml:space="preserve">      </v>
          </cell>
          <cell r="I1815">
            <v>0</v>
          </cell>
          <cell r="J1815">
            <v>0</v>
          </cell>
          <cell r="K1815">
            <v>0</v>
          </cell>
          <cell r="L1815">
            <v>0</v>
          </cell>
        </row>
        <row r="1816">
          <cell r="D1816" t="str">
            <v xml:space="preserve">  K.151.            </v>
          </cell>
          <cell r="E1816" t="str">
            <v>CP2043</v>
          </cell>
          <cell r="F1816" t="str">
            <v>2.1.1.12.1</v>
          </cell>
          <cell r="G1816" t="str">
            <v xml:space="preserve">Caixa sifonada, com grelha cromada, completa: 150 x 150 x 50  </v>
          </cell>
          <cell r="H1816" t="str">
            <v xml:space="preserve">pç    </v>
          </cell>
          <cell r="I1816">
            <v>11</v>
          </cell>
          <cell r="J1816">
            <v>27.75</v>
          </cell>
          <cell r="K1816">
            <v>36.799999999999997</v>
          </cell>
          <cell r="L1816">
            <v>305.25</v>
          </cell>
        </row>
        <row r="1817">
          <cell r="D1817" t="str">
            <v xml:space="preserve">  K.152.            </v>
          </cell>
          <cell r="E1817" t="str">
            <v>CP2067</v>
          </cell>
          <cell r="F1817" t="str">
            <v>2.1.1.12.2</v>
          </cell>
          <cell r="G1817" t="str">
            <v xml:space="preserve">Caixa sifonada, com grelha cromada, completa: 100 x 100 x 50  </v>
          </cell>
          <cell r="H1817" t="str">
            <v xml:space="preserve">pç    </v>
          </cell>
          <cell r="I1817">
            <v>10</v>
          </cell>
          <cell r="J1817">
            <v>13.44</v>
          </cell>
          <cell r="K1817">
            <v>19.2</v>
          </cell>
          <cell r="L1817">
            <v>134.4</v>
          </cell>
        </row>
        <row r="1818">
          <cell r="D1818" t="str">
            <v xml:space="preserve">  K.153.            </v>
          </cell>
          <cell r="E1818" t="str">
            <v xml:space="preserve">      </v>
          </cell>
          <cell r="F1818" t="str">
            <v>2.1.1.13.</v>
          </cell>
          <cell r="G1818" t="str">
            <v xml:space="preserve">Caixa sifonada, com tampa cega, completa:  </v>
          </cell>
          <cell r="H1818" t="str">
            <v xml:space="preserve">      </v>
          </cell>
          <cell r="I1818">
            <v>0</v>
          </cell>
          <cell r="J1818">
            <v>0</v>
          </cell>
          <cell r="K1818">
            <v>0</v>
          </cell>
          <cell r="L1818">
            <v>0</v>
          </cell>
        </row>
        <row r="1819">
          <cell r="D1819" t="str">
            <v xml:space="preserve">  K.154.            </v>
          </cell>
          <cell r="E1819" t="str">
            <v>CP1986</v>
          </cell>
          <cell r="F1819" t="str">
            <v>2.1.1.13.1</v>
          </cell>
          <cell r="G1819" t="str">
            <v xml:space="preserve">Caixa sifonada, com tampa cega, completa: 250 x 172 x 50  </v>
          </cell>
          <cell r="H1819" t="str">
            <v xml:space="preserve">pç    </v>
          </cell>
          <cell r="I1819">
            <v>2</v>
          </cell>
          <cell r="J1819">
            <v>29.42</v>
          </cell>
          <cell r="K1819">
            <v>37.31</v>
          </cell>
          <cell r="L1819">
            <v>58.84</v>
          </cell>
        </row>
        <row r="1820">
          <cell r="D1820" t="str">
            <v xml:space="preserve">  K.155.            </v>
          </cell>
          <cell r="E1820" t="str">
            <v>CP2114</v>
          </cell>
          <cell r="F1820" t="str">
            <v>2.1.1.13.2</v>
          </cell>
          <cell r="G1820" t="str">
            <v xml:space="preserve">Caixa sifonada, com tampa cega, completa: 100 x 100 x 50  </v>
          </cell>
          <cell r="H1820" t="str">
            <v xml:space="preserve">pç    </v>
          </cell>
          <cell r="I1820">
            <v>4</v>
          </cell>
          <cell r="J1820">
            <v>20.239999999999998</v>
          </cell>
          <cell r="K1820">
            <v>28.91</v>
          </cell>
          <cell r="L1820">
            <v>80.959999999999994</v>
          </cell>
        </row>
        <row r="1821">
          <cell r="D1821" t="str">
            <v xml:space="preserve">  K.156.            </v>
          </cell>
          <cell r="E1821" t="str">
            <v xml:space="preserve">      </v>
          </cell>
          <cell r="F1821" t="str">
            <v>2.1.2.</v>
          </cell>
          <cell r="G1821" t="str">
            <v xml:space="preserve">PVC ÁGUA FRIA  </v>
          </cell>
          <cell r="H1821" t="str">
            <v xml:space="preserve">      </v>
          </cell>
          <cell r="I1821">
            <v>0</v>
          </cell>
          <cell r="J1821">
            <v>0</v>
          </cell>
          <cell r="K1821">
            <v>0</v>
          </cell>
          <cell r="L1821">
            <v>0</v>
          </cell>
        </row>
        <row r="1822">
          <cell r="D1822" t="str">
            <v xml:space="preserve">  K.157.            </v>
          </cell>
          <cell r="E1822" t="str">
            <v xml:space="preserve">      </v>
          </cell>
          <cell r="F1822" t="str">
            <v>2.1.2.1.</v>
          </cell>
          <cell r="G1822" t="str">
            <v xml:space="preserve">Tubo de PVC soldável:  </v>
          </cell>
          <cell r="H1822" t="str">
            <v xml:space="preserve">      </v>
          </cell>
          <cell r="I1822">
            <v>0</v>
          </cell>
          <cell r="J1822">
            <v>0</v>
          </cell>
          <cell r="K1822">
            <v>0</v>
          </cell>
          <cell r="L1822">
            <v>0</v>
          </cell>
        </row>
        <row r="1823">
          <cell r="D1823" t="str">
            <v xml:space="preserve">  K.158.            </v>
          </cell>
          <cell r="E1823" t="str">
            <v>CP0901</v>
          </cell>
          <cell r="F1823" t="str">
            <v>2.1.2.1.1</v>
          </cell>
          <cell r="G1823" t="str">
            <v xml:space="preserve">Tubo de PVC soldável: DN 20  </v>
          </cell>
          <cell r="H1823" t="str">
            <v xml:space="preserve">m     </v>
          </cell>
          <cell r="I1823">
            <v>42</v>
          </cell>
          <cell r="J1823">
            <v>1.19</v>
          </cell>
          <cell r="K1823">
            <v>1</v>
          </cell>
          <cell r="L1823">
            <v>49.98</v>
          </cell>
        </row>
        <row r="1824">
          <cell r="D1824" t="str">
            <v xml:space="preserve">  K.159.            </v>
          </cell>
          <cell r="E1824" t="str">
            <v>CP0896</v>
          </cell>
          <cell r="F1824" t="str">
            <v>2.1.2.1.2</v>
          </cell>
          <cell r="G1824" t="str">
            <v xml:space="preserve">Tubo de PVC soldável: DN 25  </v>
          </cell>
          <cell r="H1824" t="str">
            <v xml:space="preserve">m     </v>
          </cell>
          <cell r="I1824">
            <v>132</v>
          </cell>
          <cell r="J1824">
            <v>1.71</v>
          </cell>
          <cell r="K1824">
            <v>1.43</v>
          </cell>
          <cell r="L1824">
            <v>225.72</v>
          </cell>
        </row>
        <row r="1825">
          <cell r="D1825" t="str">
            <v xml:space="preserve">  K.160.            </v>
          </cell>
          <cell r="E1825" t="str">
            <v>CP0891</v>
          </cell>
          <cell r="F1825" t="str">
            <v>2.1.2.1.3</v>
          </cell>
          <cell r="G1825" t="str">
            <v xml:space="preserve">Tubo de PVC soldável: DN 32  </v>
          </cell>
          <cell r="H1825" t="str">
            <v xml:space="preserve">m     </v>
          </cell>
          <cell r="I1825">
            <v>60</v>
          </cell>
          <cell r="J1825">
            <v>2.68</v>
          </cell>
          <cell r="K1825">
            <v>2.2400000000000002</v>
          </cell>
          <cell r="L1825">
            <v>160.80000000000001</v>
          </cell>
        </row>
        <row r="1826">
          <cell r="D1826" t="str">
            <v xml:space="preserve">  K.161.            </v>
          </cell>
          <cell r="E1826" t="str">
            <v>CP0887</v>
          </cell>
          <cell r="F1826" t="str">
            <v>2.1.2.1.4</v>
          </cell>
          <cell r="G1826" t="str">
            <v xml:space="preserve">Tubo de PVC soldável: DN 40  </v>
          </cell>
          <cell r="H1826" t="str">
            <v xml:space="preserve">m     </v>
          </cell>
          <cell r="I1826">
            <v>48</v>
          </cell>
          <cell r="J1826">
            <v>3.9</v>
          </cell>
          <cell r="K1826">
            <v>3.27</v>
          </cell>
          <cell r="L1826">
            <v>187.2</v>
          </cell>
        </row>
        <row r="1827">
          <cell r="D1827" t="str">
            <v xml:space="preserve">  K.162.            </v>
          </cell>
          <cell r="E1827" t="str">
            <v>CP0881</v>
          </cell>
          <cell r="F1827" t="str">
            <v>2.1.2.1.5</v>
          </cell>
          <cell r="G1827" t="str">
            <v xml:space="preserve">Tubo de PVC soldável: DN 50  </v>
          </cell>
          <cell r="H1827" t="str">
            <v xml:space="preserve">m     </v>
          </cell>
          <cell r="I1827">
            <v>42</v>
          </cell>
          <cell r="J1827">
            <v>6.02</v>
          </cell>
          <cell r="K1827">
            <v>5.04</v>
          </cell>
          <cell r="L1827">
            <v>252.84</v>
          </cell>
        </row>
        <row r="1828">
          <cell r="D1828" t="str">
            <v xml:space="preserve">  K.163.            </v>
          </cell>
          <cell r="E1828" t="str">
            <v>CP0876</v>
          </cell>
          <cell r="F1828" t="str">
            <v>2.1.2.1.6</v>
          </cell>
          <cell r="G1828" t="str">
            <v xml:space="preserve">Tubo de PVC soldável: DN 60  </v>
          </cell>
          <cell r="H1828" t="str">
            <v xml:space="preserve">m     </v>
          </cell>
          <cell r="I1828">
            <v>60</v>
          </cell>
          <cell r="J1828">
            <v>8</v>
          </cell>
          <cell r="K1828">
            <v>6.72</v>
          </cell>
          <cell r="L1828">
            <v>480</v>
          </cell>
        </row>
        <row r="1829">
          <cell r="D1829" t="str">
            <v xml:space="preserve">  K.164.            </v>
          </cell>
          <cell r="E1829" t="str">
            <v>CP0781</v>
          </cell>
          <cell r="F1829" t="str">
            <v>2.1.2.1.7</v>
          </cell>
          <cell r="G1829" t="str">
            <v xml:space="preserve">Tubo de PVC soldável: DN 75  </v>
          </cell>
          <cell r="H1829" t="str">
            <v xml:space="preserve">m     </v>
          </cell>
          <cell r="I1829">
            <v>12</v>
          </cell>
          <cell r="J1829">
            <v>12.85</v>
          </cell>
          <cell r="K1829">
            <v>10.76</v>
          </cell>
          <cell r="L1829">
            <v>154.19999999999999</v>
          </cell>
        </row>
        <row r="1830">
          <cell r="D1830" t="str">
            <v xml:space="preserve">  K.165.            </v>
          </cell>
          <cell r="E1830" t="str">
            <v xml:space="preserve">      </v>
          </cell>
          <cell r="F1830" t="str">
            <v>2.1.2.2.</v>
          </cell>
          <cell r="G1830" t="str">
            <v xml:space="preserve">Adaptador soldável curto, com bolsa e rosca para registro:  </v>
          </cell>
          <cell r="H1830" t="str">
            <v xml:space="preserve">      </v>
          </cell>
          <cell r="I1830">
            <v>0</v>
          </cell>
          <cell r="J1830">
            <v>0</v>
          </cell>
          <cell r="K1830">
            <v>0</v>
          </cell>
          <cell r="L1830">
            <v>0</v>
          </cell>
        </row>
        <row r="1831">
          <cell r="D1831" t="str">
            <v xml:space="preserve">  K.166.            </v>
          </cell>
          <cell r="E1831" t="str">
            <v>CP2121</v>
          </cell>
          <cell r="F1831" t="str">
            <v>2.1.2.2.1</v>
          </cell>
          <cell r="G1831" t="str">
            <v xml:space="preserve">Adaptador soldável curto, com bolsa e rosca para registro: DN 75 x 2 1/2  </v>
          </cell>
          <cell r="H1831" t="str">
            <v xml:space="preserve">pç    </v>
          </cell>
          <cell r="I1831">
            <v>4</v>
          </cell>
          <cell r="J1831">
            <v>5.89</v>
          </cell>
          <cell r="K1831">
            <v>4.93</v>
          </cell>
          <cell r="L1831">
            <v>23.56</v>
          </cell>
        </row>
        <row r="1832">
          <cell r="D1832" t="str">
            <v xml:space="preserve">  K.167.            </v>
          </cell>
          <cell r="E1832" t="str">
            <v>CP0789</v>
          </cell>
          <cell r="F1832" t="str">
            <v>2.1.2.2.2</v>
          </cell>
          <cell r="G1832" t="str">
            <v xml:space="preserve">Adaptador soldável curto, com bolsa e rosca para registro: DN 60 x 2  </v>
          </cell>
          <cell r="H1832" t="str">
            <v xml:space="preserve">pç    </v>
          </cell>
          <cell r="I1832">
            <v>2</v>
          </cell>
          <cell r="J1832">
            <v>2.91</v>
          </cell>
          <cell r="K1832">
            <v>2.4300000000000002</v>
          </cell>
          <cell r="L1832">
            <v>5.82</v>
          </cell>
        </row>
        <row r="1833">
          <cell r="D1833" t="str">
            <v xml:space="preserve">  K.168.            </v>
          </cell>
          <cell r="E1833" t="str">
            <v>CP0860</v>
          </cell>
          <cell r="F1833" t="str">
            <v>2.1.2.2.3</v>
          </cell>
          <cell r="G1833" t="str">
            <v xml:space="preserve">Adaptador soldável curto, com bolsa e rosca para registro: DN 50 x 1 1/2  </v>
          </cell>
          <cell r="H1833" t="str">
            <v xml:space="preserve">pç    </v>
          </cell>
          <cell r="I1833">
            <v>3</v>
          </cell>
          <cell r="J1833">
            <v>0.8</v>
          </cell>
          <cell r="K1833">
            <v>0.67</v>
          </cell>
          <cell r="L1833">
            <v>2.4</v>
          </cell>
        </row>
        <row r="1834">
          <cell r="D1834" t="str">
            <v xml:space="preserve">  K.169.            </v>
          </cell>
          <cell r="E1834" t="str">
            <v>CP0864</v>
          </cell>
          <cell r="F1834" t="str">
            <v>2.1.2.2.4</v>
          </cell>
          <cell r="G1834" t="str">
            <v xml:space="preserve">Adaptador soldável curto, com bolsa e rosca para registro: DN 40 x 1 1/4  </v>
          </cell>
          <cell r="H1834" t="str">
            <v xml:space="preserve">pç    </v>
          </cell>
          <cell r="I1834">
            <v>32</v>
          </cell>
          <cell r="J1834">
            <v>0.61</v>
          </cell>
          <cell r="K1834">
            <v>0.51</v>
          </cell>
          <cell r="L1834">
            <v>19.52</v>
          </cell>
        </row>
        <row r="1835">
          <cell r="D1835" t="str">
            <v xml:space="preserve">  K.170.            </v>
          </cell>
          <cell r="E1835" t="str">
            <v>CP0866</v>
          </cell>
          <cell r="F1835" t="str">
            <v>2.1.2.2.5</v>
          </cell>
          <cell r="G1835" t="str">
            <v xml:space="preserve">Adaptador soldável curto, com bolsa e rosca para registro: DN 32 x 1  </v>
          </cell>
          <cell r="H1835" t="str">
            <v xml:space="preserve">pç    </v>
          </cell>
          <cell r="I1835">
            <v>8</v>
          </cell>
          <cell r="J1835">
            <v>0.3</v>
          </cell>
          <cell r="K1835">
            <v>0.25</v>
          </cell>
          <cell r="L1835">
            <v>2.4</v>
          </cell>
        </row>
        <row r="1836">
          <cell r="D1836" t="str">
            <v xml:space="preserve">  K.171.            </v>
          </cell>
          <cell r="E1836" t="str">
            <v>CP0868</v>
          </cell>
          <cell r="F1836" t="str">
            <v>2.1.2.2.6</v>
          </cell>
          <cell r="G1836" t="str">
            <v xml:space="preserve">Adaptador soldável curto, com bolsa e rosca para registro: DN 25 x 3/4  </v>
          </cell>
          <cell r="H1836" t="str">
            <v xml:space="preserve">pç    </v>
          </cell>
          <cell r="I1836">
            <v>25</v>
          </cell>
          <cell r="J1836">
            <v>0.13</v>
          </cell>
          <cell r="K1836">
            <v>0.11</v>
          </cell>
          <cell r="L1836">
            <v>3.25</v>
          </cell>
        </row>
        <row r="1837">
          <cell r="D1837" t="str">
            <v xml:space="preserve">  K.172.            </v>
          </cell>
          <cell r="E1837" t="str">
            <v>CP0872</v>
          </cell>
          <cell r="F1837" t="str">
            <v>2.1.2.2.7</v>
          </cell>
          <cell r="G1837" t="str">
            <v xml:space="preserve">Adaptador soldável curto, com bolsa e rosca para registro: DN 20 x 1/2  </v>
          </cell>
          <cell r="H1837" t="str">
            <v xml:space="preserve">pç    </v>
          </cell>
          <cell r="I1837">
            <v>8</v>
          </cell>
          <cell r="J1837">
            <v>0.12</v>
          </cell>
          <cell r="K1837">
            <v>0.1</v>
          </cell>
          <cell r="L1837">
            <v>0.96</v>
          </cell>
        </row>
        <row r="1838">
          <cell r="D1838" t="str">
            <v xml:space="preserve">  K.173.            </v>
          </cell>
          <cell r="E1838" t="str">
            <v xml:space="preserve">      </v>
          </cell>
          <cell r="F1838" t="str">
            <v>2.1.2.3.</v>
          </cell>
          <cell r="G1838" t="str">
            <v xml:space="preserve">PVC ÁGUA FRIA Adaptador soldável, com flanges livres para caixa dágua:  </v>
          </cell>
          <cell r="H1838" t="str">
            <v xml:space="preserve">      </v>
          </cell>
          <cell r="I1838">
            <v>0</v>
          </cell>
          <cell r="J1838">
            <v>0</v>
          </cell>
          <cell r="K1838">
            <v>0</v>
          </cell>
          <cell r="L1838">
            <v>0</v>
          </cell>
        </row>
        <row r="1839">
          <cell r="D1839" t="str">
            <v xml:space="preserve">  K.174.            </v>
          </cell>
          <cell r="E1839" t="str">
            <v>CP1826</v>
          </cell>
          <cell r="F1839" t="str">
            <v>2.1.2.3.1</v>
          </cell>
          <cell r="G1839" t="str">
            <v xml:space="preserve">PVC ÁGUA FRIA Adaptador soldável, com flanges livres para caixa dágua: DN 75 x 2 1/2  </v>
          </cell>
          <cell r="H1839" t="str">
            <v xml:space="preserve">pç    </v>
          </cell>
          <cell r="I1839">
            <v>3</v>
          </cell>
          <cell r="J1839">
            <v>91.5</v>
          </cell>
          <cell r="K1839">
            <v>122.41</v>
          </cell>
          <cell r="L1839">
            <v>274.5</v>
          </cell>
        </row>
        <row r="1840">
          <cell r="D1840" t="str">
            <v xml:space="preserve">  K.175.            </v>
          </cell>
          <cell r="E1840" t="str">
            <v>CP1993</v>
          </cell>
          <cell r="F1840" t="str">
            <v>2.1.2.3.2</v>
          </cell>
          <cell r="G1840" t="str">
            <v xml:space="preserve">PVC ÁGUA FRIA Adaptador soldável, com flanges livres para caixa dágua: DN 60 x 2  </v>
          </cell>
          <cell r="H1840" t="str">
            <v xml:space="preserve">pç    </v>
          </cell>
          <cell r="I1840">
            <v>10</v>
          </cell>
          <cell r="J1840">
            <v>29.33</v>
          </cell>
          <cell r="K1840">
            <v>29.74</v>
          </cell>
          <cell r="L1840">
            <v>293.3</v>
          </cell>
        </row>
        <row r="1841">
          <cell r="D1841" t="str">
            <v xml:space="preserve">  K.176.            </v>
          </cell>
          <cell r="E1841" t="str">
            <v>CP2083</v>
          </cell>
          <cell r="F1841" t="str">
            <v>2.1.2.3.3</v>
          </cell>
          <cell r="G1841" t="str">
            <v xml:space="preserve">PVC ÁGUA FRIA Adaptador soldável, com flanges livres para caixa dágua: DN 32 x 1  </v>
          </cell>
          <cell r="H1841" t="str">
            <v xml:space="preserve">pç    </v>
          </cell>
          <cell r="I1841">
            <v>3</v>
          </cell>
          <cell r="J1841">
            <v>9.73</v>
          </cell>
          <cell r="K1841">
            <v>13.95</v>
          </cell>
          <cell r="L1841">
            <v>29.19</v>
          </cell>
        </row>
        <row r="1842">
          <cell r="D1842" t="str">
            <v xml:space="preserve">  K.177.            </v>
          </cell>
          <cell r="E1842" t="str">
            <v>CP2157</v>
          </cell>
          <cell r="F1842" t="str">
            <v>2.1.2.3.4</v>
          </cell>
          <cell r="G1842" t="str">
            <v xml:space="preserve">PVC ÁGUA FRIA Adaptador soldável, com flanges livres para caixa dágua: DN 25 x 3/4  </v>
          </cell>
          <cell r="H1842" t="str">
            <v xml:space="preserve">pç    </v>
          </cell>
          <cell r="I1842">
            <v>3</v>
          </cell>
          <cell r="J1842">
            <v>7.89</v>
          </cell>
          <cell r="K1842">
            <v>8.41</v>
          </cell>
          <cell r="L1842">
            <v>23.67</v>
          </cell>
        </row>
        <row r="1843">
          <cell r="D1843" t="str">
            <v xml:space="preserve">  K.178.            </v>
          </cell>
          <cell r="E1843" t="str">
            <v xml:space="preserve">      </v>
          </cell>
          <cell r="F1843" t="str">
            <v>2.1.2.4.</v>
          </cell>
          <cell r="G1843" t="str">
            <v xml:space="preserve">PVC ÁGUA FRIA Bucha de redução soldável curta:  </v>
          </cell>
          <cell r="H1843" t="str">
            <v xml:space="preserve">      </v>
          </cell>
          <cell r="I1843">
            <v>0</v>
          </cell>
          <cell r="J1843">
            <v>0</v>
          </cell>
          <cell r="K1843">
            <v>0</v>
          </cell>
          <cell r="L1843">
            <v>0</v>
          </cell>
        </row>
        <row r="1844">
          <cell r="D1844" t="str">
            <v xml:space="preserve">  K.179.            </v>
          </cell>
          <cell r="E1844" t="str">
            <v>CP2175</v>
          </cell>
          <cell r="F1844" t="str">
            <v>2.1.2.4.1</v>
          </cell>
          <cell r="G1844" t="str">
            <v xml:space="preserve">PVC ÁGUA FRIA Bucha de redução soldável curta: DN 75 x 60  </v>
          </cell>
          <cell r="H1844" t="str">
            <v xml:space="preserve">pç    </v>
          </cell>
          <cell r="I1844">
            <v>1</v>
          </cell>
          <cell r="J1844">
            <v>6.5</v>
          </cell>
          <cell r="K1844">
            <v>8.69</v>
          </cell>
          <cell r="L1844">
            <v>6.5</v>
          </cell>
        </row>
        <row r="1845">
          <cell r="D1845" t="str">
            <v xml:space="preserve">  K.180.            </v>
          </cell>
          <cell r="E1845" t="str">
            <v>CP0791</v>
          </cell>
          <cell r="F1845" t="str">
            <v>2.1.2.4.2</v>
          </cell>
          <cell r="G1845" t="str">
            <v xml:space="preserve">PVC ÁGUA FRIA Bucha de redução soldável curta: DN 60 x 50  </v>
          </cell>
          <cell r="H1845" t="str">
            <v xml:space="preserve">pç    </v>
          </cell>
          <cell r="I1845">
            <v>11</v>
          </cell>
          <cell r="J1845">
            <v>2.97</v>
          </cell>
          <cell r="K1845">
            <v>3.1</v>
          </cell>
          <cell r="L1845">
            <v>32.67</v>
          </cell>
        </row>
        <row r="1846">
          <cell r="D1846" t="str">
            <v xml:space="preserve">  K.181.            </v>
          </cell>
          <cell r="E1846" t="str">
            <v>CP0786</v>
          </cell>
          <cell r="F1846" t="str">
            <v>2.1.2.4.3</v>
          </cell>
          <cell r="G1846" t="str">
            <v xml:space="preserve">PVC ÁGUA FRIA Bucha de redução soldável curta: DN 50 x 40  </v>
          </cell>
          <cell r="H1846" t="str">
            <v xml:space="preserve">pç    </v>
          </cell>
          <cell r="I1846">
            <v>4</v>
          </cell>
          <cell r="J1846">
            <v>1.53</v>
          </cell>
          <cell r="K1846">
            <v>1.27</v>
          </cell>
          <cell r="L1846">
            <v>6.12</v>
          </cell>
        </row>
        <row r="1847">
          <cell r="D1847" t="str">
            <v xml:space="preserve">  K.182.            </v>
          </cell>
          <cell r="E1847" t="str">
            <v>CP0853</v>
          </cell>
          <cell r="F1847" t="str">
            <v>2.1.2.4.4</v>
          </cell>
          <cell r="G1847" t="str">
            <v xml:space="preserve">PVC ÁGUA FRIA Bucha de redução soldável curta: DN 32 x 25  </v>
          </cell>
          <cell r="H1847" t="str">
            <v xml:space="preserve">pç    </v>
          </cell>
          <cell r="I1847">
            <v>4</v>
          </cell>
          <cell r="J1847">
            <v>0.42</v>
          </cell>
          <cell r="K1847">
            <v>0.35</v>
          </cell>
          <cell r="L1847">
            <v>1.68</v>
          </cell>
        </row>
        <row r="1848">
          <cell r="D1848" t="str">
            <v xml:space="preserve">  K.183.            </v>
          </cell>
          <cell r="E1848" t="str">
            <v>CP0856</v>
          </cell>
          <cell r="F1848" t="str">
            <v>2.1.2.4.5</v>
          </cell>
          <cell r="G1848" t="str">
            <v xml:space="preserve">PVC ÁGUA FRIA Bucha de redução soldável curta: DN 25 x 20  </v>
          </cell>
          <cell r="H1848" t="str">
            <v xml:space="preserve">pç    </v>
          </cell>
          <cell r="I1848">
            <v>13</v>
          </cell>
          <cell r="J1848">
            <v>0.21</v>
          </cell>
          <cell r="K1848">
            <v>0.18</v>
          </cell>
          <cell r="L1848">
            <v>2.73</v>
          </cell>
        </row>
        <row r="1849">
          <cell r="D1849" t="str">
            <v xml:space="preserve">  K.184.            </v>
          </cell>
          <cell r="E1849" t="str">
            <v xml:space="preserve">      </v>
          </cell>
          <cell r="F1849" t="str">
            <v>2.1.2.5.</v>
          </cell>
          <cell r="G1849" t="str">
            <v xml:space="preserve">PVC ÁGUA FRIA Bucha de redução soldável longa:  </v>
          </cell>
          <cell r="H1849" t="str">
            <v xml:space="preserve">      </v>
          </cell>
          <cell r="I1849">
            <v>0</v>
          </cell>
          <cell r="J1849">
            <v>0</v>
          </cell>
          <cell r="K1849">
            <v>0</v>
          </cell>
          <cell r="L1849">
            <v>0</v>
          </cell>
        </row>
        <row r="1850">
          <cell r="D1850" t="str">
            <v xml:space="preserve">  K.185.            </v>
          </cell>
          <cell r="E1850" t="str">
            <v>CP0765</v>
          </cell>
          <cell r="F1850" t="str">
            <v>2.1.2.5.1</v>
          </cell>
          <cell r="G1850" t="str">
            <v xml:space="preserve">PVC ÁGUA FRIA Bucha de redução soldável longa: DN 60 x 40  </v>
          </cell>
          <cell r="H1850" t="str">
            <v xml:space="preserve">pç    </v>
          </cell>
          <cell r="I1850">
            <v>1</v>
          </cell>
          <cell r="J1850">
            <v>1.55</v>
          </cell>
          <cell r="K1850">
            <v>1.3</v>
          </cell>
          <cell r="L1850">
            <v>1.55</v>
          </cell>
        </row>
        <row r="1851">
          <cell r="D1851" t="str">
            <v xml:space="preserve">  K.186.            </v>
          </cell>
          <cell r="E1851" t="str">
            <v>CP0716</v>
          </cell>
          <cell r="F1851" t="str">
            <v>2.1.2.5.2</v>
          </cell>
          <cell r="G1851" t="str">
            <v xml:space="preserve">PVC ÁGUA FRIA Bucha de redução soldável longa: DN 60 x 32  </v>
          </cell>
          <cell r="H1851" t="str">
            <v xml:space="preserve">pç    </v>
          </cell>
          <cell r="I1851">
            <v>2</v>
          </cell>
          <cell r="J1851">
            <v>1.48</v>
          </cell>
          <cell r="K1851">
            <v>1.24</v>
          </cell>
          <cell r="L1851">
            <v>2.96</v>
          </cell>
        </row>
        <row r="1852">
          <cell r="D1852" t="str">
            <v xml:space="preserve">  K.187.            </v>
          </cell>
          <cell r="E1852" t="str">
            <v>CP0768</v>
          </cell>
          <cell r="F1852" t="str">
            <v>2.1.2.5.3</v>
          </cell>
          <cell r="G1852" t="str">
            <v xml:space="preserve">PVC ÁGUA FRIA Bucha de redução soldável longa: DN 60 x 25  </v>
          </cell>
          <cell r="H1852" t="str">
            <v xml:space="preserve">pç    </v>
          </cell>
          <cell r="I1852">
            <v>2</v>
          </cell>
          <cell r="J1852">
            <v>1.19</v>
          </cell>
          <cell r="K1852">
            <v>1</v>
          </cell>
          <cell r="L1852">
            <v>2.38</v>
          </cell>
        </row>
        <row r="1853">
          <cell r="D1853" t="str">
            <v xml:space="preserve">  K.188.            </v>
          </cell>
          <cell r="E1853" t="str">
            <v>CP2290</v>
          </cell>
          <cell r="F1853" t="str">
            <v>2.1.2.5.4</v>
          </cell>
          <cell r="G1853" t="str">
            <v xml:space="preserve">PVC ÁGUA FRIA Bucha de redução soldável longa: DN 50 x 25  </v>
          </cell>
          <cell r="H1853" t="str">
            <v xml:space="preserve">pç    </v>
          </cell>
          <cell r="I1853">
            <v>3</v>
          </cell>
          <cell r="J1853">
            <v>1.57</v>
          </cell>
          <cell r="K1853">
            <v>1.31</v>
          </cell>
          <cell r="L1853">
            <v>4.71</v>
          </cell>
        </row>
        <row r="1854">
          <cell r="D1854" t="str">
            <v xml:space="preserve">  K.189.            </v>
          </cell>
          <cell r="E1854" t="str">
            <v>CP0772</v>
          </cell>
          <cell r="F1854" t="str">
            <v>2.1.2.5.5</v>
          </cell>
          <cell r="G1854" t="str">
            <v xml:space="preserve">PVC ÁGUA FRIA Bucha de redução soldável longa: DN 32 x 20  </v>
          </cell>
          <cell r="H1854" t="str">
            <v xml:space="preserve">pç    </v>
          </cell>
          <cell r="I1854">
            <v>1</v>
          </cell>
          <cell r="J1854">
            <v>0.36</v>
          </cell>
          <cell r="K1854">
            <v>0.3</v>
          </cell>
          <cell r="L1854">
            <v>0.36</v>
          </cell>
        </row>
        <row r="1855">
          <cell r="D1855" t="str">
            <v xml:space="preserve">  K.190.            </v>
          </cell>
          <cell r="E1855" t="str">
            <v xml:space="preserve">      </v>
          </cell>
          <cell r="F1855" t="str">
            <v>2.1.2.6.</v>
          </cell>
          <cell r="G1855" t="str">
            <v xml:space="preserve">PVC ÁGUA FRIA Joelho 90o soldável:  </v>
          </cell>
          <cell r="H1855" t="str">
            <v xml:space="preserve">      </v>
          </cell>
          <cell r="I1855">
            <v>0</v>
          </cell>
          <cell r="J1855">
            <v>0</v>
          </cell>
          <cell r="K1855">
            <v>0</v>
          </cell>
          <cell r="L1855">
            <v>0</v>
          </cell>
        </row>
        <row r="1856">
          <cell r="D1856" t="str">
            <v xml:space="preserve">  K.191.            </v>
          </cell>
          <cell r="E1856" t="str">
            <v>CP0760</v>
          </cell>
          <cell r="F1856" t="str">
            <v>2.1.2.6.1</v>
          </cell>
          <cell r="G1856" t="str">
            <v xml:space="preserve">PVC ÁGUA FRIA Joelho 90o soldável: DN 75  </v>
          </cell>
          <cell r="H1856" t="str">
            <v xml:space="preserve">pç    </v>
          </cell>
          <cell r="I1856">
            <v>1</v>
          </cell>
          <cell r="J1856">
            <v>41.03</v>
          </cell>
          <cell r="K1856">
            <v>34.299999999999997</v>
          </cell>
          <cell r="L1856">
            <v>41.03</v>
          </cell>
        </row>
        <row r="1857">
          <cell r="D1857" t="str">
            <v xml:space="preserve">  K.192.            </v>
          </cell>
          <cell r="E1857" t="str">
            <v>CP0826</v>
          </cell>
          <cell r="F1857" t="str">
            <v>2.1.2.6.2</v>
          </cell>
          <cell r="G1857" t="str">
            <v xml:space="preserve">PVC ÁGUA FRIA Joelho 90o soldável: DN 60  </v>
          </cell>
          <cell r="H1857" t="str">
            <v xml:space="preserve">pç    </v>
          </cell>
          <cell r="I1857">
            <v>10</v>
          </cell>
          <cell r="J1857">
            <v>10.65</v>
          </cell>
          <cell r="K1857">
            <v>8.89</v>
          </cell>
          <cell r="L1857">
            <v>106.5</v>
          </cell>
        </row>
        <row r="1858">
          <cell r="D1858" t="str">
            <v xml:space="preserve">  K.193.            </v>
          </cell>
          <cell r="E1858" t="str">
            <v>CP0832</v>
          </cell>
          <cell r="F1858" t="str">
            <v>2.1.2.6.3</v>
          </cell>
          <cell r="G1858" t="str">
            <v xml:space="preserve">PVC ÁGUA FRIA Joelho 90o soldável: DN 50  </v>
          </cell>
          <cell r="H1858" t="str">
            <v xml:space="preserve">pç    </v>
          </cell>
          <cell r="I1858">
            <v>5</v>
          </cell>
          <cell r="J1858">
            <v>2.97</v>
          </cell>
          <cell r="K1858">
            <v>2.48</v>
          </cell>
          <cell r="L1858">
            <v>14.85</v>
          </cell>
        </row>
        <row r="1859">
          <cell r="D1859" t="str">
            <v xml:space="preserve">  K.194.            </v>
          </cell>
          <cell r="E1859" t="str">
            <v>CP0836</v>
          </cell>
          <cell r="F1859" t="str">
            <v>2.1.2.6.4</v>
          </cell>
          <cell r="G1859" t="str">
            <v xml:space="preserve">PVC ÁGUA FRIA Joelho 90o soldável: DN 40  </v>
          </cell>
          <cell r="H1859" t="str">
            <v xml:space="preserve">pç    </v>
          </cell>
          <cell r="I1859">
            <v>19</v>
          </cell>
          <cell r="J1859">
            <v>2.5299999999999998</v>
          </cell>
          <cell r="K1859">
            <v>2.12</v>
          </cell>
          <cell r="L1859">
            <v>48.07</v>
          </cell>
        </row>
        <row r="1860">
          <cell r="D1860" t="str">
            <v xml:space="preserve">  K.195.            </v>
          </cell>
          <cell r="E1860" t="str">
            <v>CP0839</v>
          </cell>
          <cell r="F1860" t="str">
            <v>2.1.2.6.5</v>
          </cell>
          <cell r="G1860" t="str">
            <v xml:space="preserve">PVC ÁGUA FRIA Joelho 90o soldável: DN 32  </v>
          </cell>
          <cell r="H1860" t="str">
            <v xml:space="preserve">pç    </v>
          </cell>
          <cell r="I1860">
            <v>17</v>
          </cell>
          <cell r="J1860">
            <v>0.42</v>
          </cell>
          <cell r="K1860">
            <v>0.86</v>
          </cell>
          <cell r="L1860">
            <v>7.14</v>
          </cell>
        </row>
        <row r="1861">
          <cell r="D1861" t="str">
            <v xml:space="preserve">  K.196.            </v>
          </cell>
          <cell r="E1861" t="str">
            <v>CP0844</v>
          </cell>
          <cell r="F1861" t="str">
            <v>2.1.2.6.6</v>
          </cell>
          <cell r="G1861" t="str">
            <v xml:space="preserve">PVC ÁGUA FRIA Joelho 90o soldável: DN 25  </v>
          </cell>
          <cell r="H1861" t="str">
            <v xml:space="preserve">pç    </v>
          </cell>
          <cell r="I1861">
            <v>47</v>
          </cell>
          <cell r="J1861">
            <v>0.28000000000000003</v>
          </cell>
          <cell r="K1861">
            <v>0.35</v>
          </cell>
          <cell r="L1861">
            <v>13.16</v>
          </cell>
        </row>
        <row r="1862">
          <cell r="D1862" t="str">
            <v xml:space="preserve">  K.197.            </v>
          </cell>
          <cell r="E1862" t="str">
            <v>CP0849</v>
          </cell>
          <cell r="F1862" t="str">
            <v>2.1.2.6.7</v>
          </cell>
          <cell r="G1862" t="str">
            <v xml:space="preserve">PVC ÁGUA FRIA Joelho 90o soldável: DN 20  </v>
          </cell>
          <cell r="H1862" t="str">
            <v xml:space="preserve">pç    </v>
          </cell>
          <cell r="I1862">
            <v>26</v>
          </cell>
          <cell r="J1862">
            <v>0.28000000000000003</v>
          </cell>
          <cell r="K1862">
            <v>0.24</v>
          </cell>
          <cell r="L1862">
            <v>7.28</v>
          </cell>
        </row>
        <row r="1863">
          <cell r="D1863" t="str">
            <v xml:space="preserve">  K.198.            </v>
          </cell>
          <cell r="E1863" t="str">
            <v xml:space="preserve">      </v>
          </cell>
          <cell r="F1863" t="str">
            <v>2.1.2.7.</v>
          </cell>
          <cell r="G1863" t="str">
            <v xml:space="preserve">PVC ÁGUA FRIA Joelho 90o soldável com bucha de latão:  </v>
          </cell>
          <cell r="H1863" t="str">
            <v xml:space="preserve">      </v>
          </cell>
          <cell r="I1863">
            <v>0</v>
          </cell>
          <cell r="J1863">
            <v>0</v>
          </cell>
          <cell r="K1863">
            <v>0</v>
          </cell>
          <cell r="L1863">
            <v>0</v>
          </cell>
        </row>
        <row r="1864">
          <cell r="D1864" t="str">
            <v xml:space="preserve">  K.199.            </v>
          </cell>
          <cell r="E1864" t="str">
            <v>CP2209</v>
          </cell>
          <cell r="F1864" t="str">
            <v>2.1.2.7.1</v>
          </cell>
          <cell r="G1864" t="str">
            <v xml:space="preserve">PVC ÁGUA FRIA Joelho 90o soldável com bucha de latão: DN 25 x 3/4  </v>
          </cell>
          <cell r="H1864" t="str">
            <v xml:space="preserve">pç    </v>
          </cell>
          <cell r="I1864">
            <v>19</v>
          </cell>
          <cell r="J1864">
            <v>2.12</v>
          </cell>
          <cell r="K1864">
            <v>1.78</v>
          </cell>
          <cell r="L1864">
            <v>40.28</v>
          </cell>
        </row>
        <row r="1865">
          <cell r="D1865" t="str">
            <v xml:space="preserve">  K.200.            </v>
          </cell>
          <cell r="E1865" t="str">
            <v>CP2221</v>
          </cell>
          <cell r="F1865" t="str">
            <v>2.1.2.7.2</v>
          </cell>
          <cell r="G1865" t="str">
            <v xml:space="preserve">PVC ÁGUA FRIA Joelho 90o soldável com bucha de latão: DN 20 x 1/2  </v>
          </cell>
          <cell r="H1865" t="str">
            <v xml:space="preserve">pç    </v>
          </cell>
          <cell r="I1865">
            <v>30</v>
          </cell>
          <cell r="J1865">
            <v>3.22</v>
          </cell>
          <cell r="K1865">
            <v>4.0999999999999996</v>
          </cell>
          <cell r="L1865">
            <v>96.6</v>
          </cell>
        </row>
        <row r="1866">
          <cell r="D1866" t="str">
            <v xml:space="preserve">  K.201.            </v>
          </cell>
          <cell r="E1866" t="str">
            <v xml:space="preserve">      </v>
          </cell>
          <cell r="F1866" t="str">
            <v>2.1.2.8.</v>
          </cell>
          <cell r="G1866" t="str">
            <v xml:space="preserve">PVC ÁGUA FRIA Joelho de redução soldável com bucha de latão:  </v>
          </cell>
          <cell r="H1866" t="str">
            <v xml:space="preserve">      </v>
          </cell>
          <cell r="I1866">
            <v>0</v>
          </cell>
          <cell r="J1866">
            <v>0</v>
          </cell>
          <cell r="K1866">
            <v>0</v>
          </cell>
          <cell r="L1866">
            <v>0</v>
          </cell>
        </row>
        <row r="1867">
          <cell r="D1867" t="str">
            <v xml:space="preserve">  K.202.            </v>
          </cell>
          <cell r="E1867" t="str">
            <v>CP0756</v>
          </cell>
          <cell r="F1867" t="str">
            <v>2.1.2.8.1</v>
          </cell>
          <cell r="G1867" t="str">
            <v xml:space="preserve">PVC ÁGUA FRIA Joelho de redução soldável com bucha de latão: DN 25 x 1/2  </v>
          </cell>
          <cell r="H1867" t="str">
            <v xml:space="preserve">pç    </v>
          </cell>
          <cell r="I1867">
            <v>8</v>
          </cell>
          <cell r="J1867">
            <v>3.49</v>
          </cell>
          <cell r="K1867">
            <v>4.9800000000000004</v>
          </cell>
          <cell r="L1867">
            <v>27.92</v>
          </cell>
        </row>
        <row r="1868">
          <cell r="D1868" t="str">
            <v xml:space="preserve">  K.203.            </v>
          </cell>
          <cell r="E1868" t="str">
            <v xml:space="preserve">      </v>
          </cell>
          <cell r="F1868" t="str">
            <v>2.1.2.9.</v>
          </cell>
          <cell r="G1868" t="str">
            <v xml:space="preserve">PVC ÁGUA FRIA Luva soldável e com rosca:  </v>
          </cell>
          <cell r="H1868" t="str">
            <v xml:space="preserve">      </v>
          </cell>
          <cell r="I1868">
            <v>0</v>
          </cell>
          <cell r="J1868">
            <v>0</v>
          </cell>
          <cell r="K1868">
            <v>0</v>
          </cell>
          <cell r="L1868">
            <v>0</v>
          </cell>
        </row>
        <row r="1869">
          <cell r="D1869" t="str">
            <v xml:space="preserve">  K.204.            </v>
          </cell>
          <cell r="E1869" t="str">
            <v>CP0823</v>
          </cell>
          <cell r="F1869" t="str">
            <v>2.1.2.9.1</v>
          </cell>
          <cell r="G1869" t="str">
            <v xml:space="preserve">PVC ÁGUA FRIA Luva soldável e com rosca: DN 25 x 3/4  </v>
          </cell>
          <cell r="H1869" t="str">
            <v xml:space="preserve">pç    </v>
          </cell>
          <cell r="I1869">
            <v>9</v>
          </cell>
          <cell r="J1869">
            <v>0.74</v>
          </cell>
          <cell r="K1869">
            <v>0.62</v>
          </cell>
          <cell r="L1869">
            <v>6.66</v>
          </cell>
        </row>
        <row r="1870">
          <cell r="D1870" t="str">
            <v xml:space="preserve">  K.205.            </v>
          </cell>
          <cell r="E1870" t="str">
            <v>CP0825</v>
          </cell>
          <cell r="F1870" t="str">
            <v>2.1.2.9.2</v>
          </cell>
          <cell r="G1870" t="str">
            <v xml:space="preserve">PVC ÁGUA FRIA Luva soldável e com rosca: DN 20 x 1/2  </v>
          </cell>
          <cell r="H1870" t="str">
            <v xml:space="preserve">pç    </v>
          </cell>
          <cell r="I1870">
            <v>4</v>
          </cell>
          <cell r="J1870">
            <v>0.62</v>
          </cell>
          <cell r="K1870">
            <v>0.52</v>
          </cell>
          <cell r="L1870">
            <v>2.48</v>
          </cell>
        </row>
        <row r="1871">
          <cell r="D1871" t="str">
            <v xml:space="preserve">  K.206.            </v>
          </cell>
          <cell r="E1871" t="str">
            <v xml:space="preserve">      </v>
          </cell>
          <cell r="F1871" t="str">
            <v>2.1.2.10.</v>
          </cell>
          <cell r="G1871" t="str">
            <v xml:space="preserve">PVC ÁGUA FRIA Tê 90o soldável:  </v>
          </cell>
          <cell r="H1871" t="str">
            <v xml:space="preserve">      </v>
          </cell>
          <cell r="I1871">
            <v>0</v>
          </cell>
          <cell r="J1871">
            <v>0</v>
          </cell>
          <cell r="K1871">
            <v>0</v>
          </cell>
          <cell r="L1871">
            <v>0</v>
          </cell>
        </row>
        <row r="1872">
          <cell r="D1872" t="str">
            <v xml:space="preserve">  K.207.            </v>
          </cell>
          <cell r="E1872" t="str">
            <v>CP1917</v>
          </cell>
          <cell r="F1872" t="str">
            <v>2.1.2.10.1</v>
          </cell>
          <cell r="G1872" t="str">
            <v xml:space="preserve">PVC ÁGUA FRIA Tê 90o soldável: DN 75  </v>
          </cell>
          <cell r="H1872" t="str">
            <v xml:space="preserve">pç    </v>
          </cell>
          <cell r="I1872">
            <v>2</v>
          </cell>
          <cell r="J1872">
            <v>31.96</v>
          </cell>
          <cell r="K1872">
            <v>38.57</v>
          </cell>
          <cell r="L1872">
            <v>63.92</v>
          </cell>
        </row>
        <row r="1873">
          <cell r="D1873" t="str">
            <v xml:space="preserve">  K.208.            </v>
          </cell>
          <cell r="E1873" t="str">
            <v>CP0683</v>
          </cell>
          <cell r="F1873" t="str">
            <v>2.1.2.10.2</v>
          </cell>
          <cell r="G1873" t="str">
            <v xml:space="preserve">PVC ÁGUA FRIA Tê 90o soldável: DN 60  </v>
          </cell>
          <cell r="H1873" t="str">
            <v xml:space="preserve">pç    </v>
          </cell>
          <cell r="I1873">
            <v>16</v>
          </cell>
          <cell r="J1873">
            <v>14.59</v>
          </cell>
          <cell r="K1873">
            <v>13.32</v>
          </cell>
          <cell r="L1873">
            <v>233.44</v>
          </cell>
        </row>
        <row r="1874">
          <cell r="D1874" t="str">
            <v xml:space="preserve">  K.209.            </v>
          </cell>
          <cell r="E1874" t="str">
            <v>CP0685</v>
          </cell>
          <cell r="F1874" t="str">
            <v>2.1.2.10.3</v>
          </cell>
          <cell r="G1874" t="str">
            <v xml:space="preserve">PVC ÁGUA FRIA Tê 90o soldável: DN 50  </v>
          </cell>
          <cell r="H1874" t="str">
            <v xml:space="preserve">pç    </v>
          </cell>
          <cell r="I1874">
            <v>3</v>
          </cell>
          <cell r="J1874">
            <v>4.6100000000000003</v>
          </cell>
          <cell r="K1874">
            <v>3.86</v>
          </cell>
          <cell r="L1874">
            <v>13.83</v>
          </cell>
        </row>
        <row r="1875">
          <cell r="D1875" t="str">
            <v xml:space="preserve">  K.210.            </v>
          </cell>
          <cell r="E1875" t="str">
            <v>CP0818</v>
          </cell>
          <cell r="F1875" t="str">
            <v>2.1.2.10.4</v>
          </cell>
          <cell r="G1875" t="str">
            <v xml:space="preserve">PVC ÁGUA FRIA Tê 90o soldável: DN 32  </v>
          </cell>
          <cell r="H1875" t="str">
            <v xml:space="preserve">pç    </v>
          </cell>
          <cell r="I1875">
            <v>4</v>
          </cell>
          <cell r="J1875">
            <v>1.83</v>
          </cell>
          <cell r="K1875">
            <v>1.53</v>
          </cell>
          <cell r="L1875">
            <v>7.32</v>
          </cell>
        </row>
        <row r="1876">
          <cell r="D1876" t="str">
            <v xml:space="preserve">  K.211.            </v>
          </cell>
          <cell r="E1876" t="str">
            <v>CP0689</v>
          </cell>
          <cell r="F1876" t="str">
            <v>2.1.2.10.5</v>
          </cell>
          <cell r="G1876" t="str">
            <v xml:space="preserve">PVC ÁGUA FRIA Tê 90o soldável: DN 25  </v>
          </cell>
          <cell r="H1876" t="str">
            <v xml:space="preserve">pç    </v>
          </cell>
          <cell r="I1876">
            <v>8</v>
          </cell>
          <cell r="J1876">
            <v>0.65</v>
          </cell>
          <cell r="K1876">
            <v>0.54</v>
          </cell>
          <cell r="L1876">
            <v>5.2</v>
          </cell>
        </row>
        <row r="1877">
          <cell r="D1877" t="str">
            <v xml:space="preserve">  K.212.            </v>
          </cell>
          <cell r="E1877" t="str">
            <v>CP0691</v>
          </cell>
          <cell r="F1877" t="str">
            <v>2.1.2.10.6</v>
          </cell>
          <cell r="G1877" t="str">
            <v xml:space="preserve">PVC ÁGUA FRIA Tê 90o soldável: DN 20  </v>
          </cell>
          <cell r="H1877" t="str">
            <v xml:space="preserve">pç    </v>
          </cell>
          <cell r="I1877">
            <v>3</v>
          </cell>
          <cell r="J1877">
            <v>0.52</v>
          </cell>
          <cell r="K1877">
            <v>0.44</v>
          </cell>
          <cell r="L1877">
            <v>1.56</v>
          </cell>
        </row>
        <row r="1878">
          <cell r="D1878" t="str">
            <v xml:space="preserve">  K.213.            </v>
          </cell>
          <cell r="E1878" t="str">
            <v xml:space="preserve">      </v>
          </cell>
          <cell r="F1878" t="str">
            <v>2.1.2.11.</v>
          </cell>
          <cell r="G1878" t="str">
            <v xml:space="preserve">PVC ÁGUA FRIA Tê 90o soldável com bucha de latão na bolsa central:  </v>
          </cell>
          <cell r="H1878" t="str">
            <v xml:space="preserve">      </v>
          </cell>
          <cell r="I1878">
            <v>0</v>
          </cell>
          <cell r="J1878">
            <v>0</v>
          </cell>
          <cell r="K1878">
            <v>0</v>
          </cell>
          <cell r="L1878">
            <v>0</v>
          </cell>
        </row>
        <row r="1879">
          <cell r="D1879" t="str">
            <v xml:space="preserve">  K.214.            </v>
          </cell>
          <cell r="E1879" t="str">
            <v>CP0754</v>
          </cell>
          <cell r="F1879" t="str">
            <v>2.1.2.11.1</v>
          </cell>
          <cell r="G1879" t="str">
            <v xml:space="preserve">PVC ÁGUA FRIA Tê 90o soldável com bucha de latão na bolsa central: DN 25 x 25 x 3/4  </v>
          </cell>
          <cell r="H1879" t="str">
            <v xml:space="preserve">pç    </v>
          </cell>
          <cell r="I1879">
            <v>4</v>
          </cell>
          <cell r="J1879">
            <v>2.16</v>
          </cell>
          <cell r="K1879">
            <v>1.94</v>
          </cell>
          <cell r="L1879">
            <v>8.64</v>
          </cell>
        </row>
        <row r="1880">
          <cell r="D1880" t="str">
            <v xml:space="preserve">  K.215.            </v>
          </cell>
          <cell r="E1880" t="str">
            <v>CP2176</v>
          </cell>
          <cell r="F1880" t="str">
            <v>2.1.2.11.2</v>
          </cell>
          <cell r="G1880" t="str">
            <v xml:space="preserve">PVC ÁGUA FRIA Tê 90o soldável com bucha de latão na bolsa central: DN 20 x 20 x 1/2  </v>
          </cell>
          <cell r="H1880" t="str">
            <v xml:space="preserve">pç    </v>
          </cell>
          <cell r="I1880">
            <v>6</v>
          </cell>
          <cell r="J1880">
            <v>4.96</v>
          </cell>
          <cell r="K1880">
            <v>6.3</v>
          </cell>
          <cell r="L1880">
            <v>29.76</v>
          </cell>
        </row>
        <row r="1881">
          <cell r="D1881" t="str">
            <v xml:space="preserve">  K.216.            </v>
          </cell>
          <cell r="E1881" t="str">
            <v xml:space="preserve">      </v>
          </cell>
          <cell r="F1881" t="str">
            <v>2.1.2.12.</v>
          </cell>
          <cell r="G1881" t="str">
            <v xml:space="preserve">PVC ÁGUA FRIA Tê de redução 90o soldável:  </v>
          </cell>
          <cell r="H1881" t="str">
            <v xml:space="preserve">      </v>
          </cell>
          <cell r="I1881">
            <v>0</v>
          </cell>
          <cell r="J1881">
            <v>0</v>
          </cell>
          <cell r="K1881">
            <v>0</v>
          </cell>
          <cell r="L1881">
            <v>0</v>
          </cell>
        </row>
        <row r="1882">
          <cell r="D1882" t="str">
            <v xml:space="preserve">  K.217.            </v>
          </cell>
          <cell r="E1882" t="str">
            <v>CP2129</v>
          </cell>
          <cell r="F1882" t="str">
            <v>2.1.2.12.1</v>
          </cell>
          <cell r="G1882" t="str">
            <v xml:space="preserve">PVC ÁGUA FRIA Tê de redução 90o soldável: DN 50 x 40  </v>
          </cell>
          <cell r="H1882" t="str">
            <v xml:space="preserve">pç    </v>
          </cell>
          <cell r="I1882">
            <v>6</v>
          </cell>
          <cell r="J1882">
            <v>8.82</v>
          </cell>
          <cell r="K1882">
            <v>11.79</v>
          </cell>
          <cell r="L1882">
            <v>52.92</v>
          </cell>
        </row>
        <row r="1883">
          <cell r="D1883" t="str">
            <v xml:space="preserve">  K.218.            </v>
          </cell>
          <cell r="E1883" t="str">
            <v>CP0808</v>
          </cell>
          <cell r="F1883" t="str">
            <v>2.1.2.12.2</v>
          </cell>
          <cell r="G1883" t="str">
            <v xml:space="preserve">PVC ÁGUA FRIA Tê de redução 90o soldável: DN 50 x 25  </v>
          </cell>
          <cell r="H1883" t="str">
            <v xml:space="preserve">pç    </v>
          </cell>
          <cell r="I1883">
            <v>1</v>
          </cell>
          <cell r="J1883">
            <v>4.5999999999999996</v>
          </cell>
          <cell r="K1883">
            <v>3.97</v>
          </cell>
          <cell r="L1883">
            <v>4.5999999999999996</v>
          </cell>
        </row>
        <row r="1884">
          <cell r="D1884" t="str">
            <v xml:space="preserve">  K.219.            </v>
          </cell>
          <cell r="E1884" t="str">
            <v>CP0812</v>
          </cell>
          <cell r="F1884" t="str">
            <v>2.1.2.12.3</v>
          </cell>
          <cell r="G1884" t="str">
            <v xml:space="preserve">PVC ÁGUA FRIA Tê de redução 90o soldável: DN 40 x 32  </v>
          </cell>
          <cell r="H1884" t="str">
            <v xml:space="preserve">pç    </v>
          </cell>
          <cell r="I1884">
            <v>1</v>
          </cell>
          <cell r="J1884">
            <v>4.26</v>
          </cell>
          <cell r="K1884">
            <v>3.56</v>
          </cell>
          <cell r="L1884">
            <v>4.26</v>
          </cell>
        </row>
        <row r="1885">
          <cell r="D1885" t="str">
            <v xml:space="preserve">  K.220.            </v>
          </cell>
          <cell r="E1885" t="str">
            <v>CP0814</v>
          </cell>
          <cell r="F1885" t="str">
            <v>2.1.2.12.4</v>
          </cell>
          <cell r="G1885" t="str">
            <v xml:space="preserve">PVC ÁGUA FRIA Tê de redução 90o soldável: DN 32 x 25  </v>
          </cell>
          <cell r="H1885" t="str">
            <v xml:space="preserve">pç    </v>
          </cell>
          <cell r="I1885">
            <v>7</v>
          </cell>
          <cell r="J1885">
            <v>3.1</v>
          </cell>
          <cell r="K1885">
            <v>2.6</v>
          </cell>
          <cell r="L1885">
            <v>21.7</v>
          </cell>
        </row>
        <row r="1886">
          <cell r="D1886" t="str">
            <v xml:space="preserve">  K.221.            </v>
          </cell>
          <cell r="E1886" t="str">
            <v>CP0815</v>
          </cell>
          <cell r="F1886" t="str">
            <v>2.1.2.12.5</v>
          </cell>
          <cell r="G1886" t="str">
            <v xml:space="preserve">PVC ÁGUA FRIA Tê de redução 90o soldável: DN 25 x 20  </v>
          </cell>
          <cell r="H1886" t="str">
            <v xml:space="preserve">pç    </v>
          </cell>
          <cell r="I1886">
            <v>6</v>
          </cell>
          <cell r="J1886">
            <v>1.59</v>
          </cell>
          <cell r="K1886">
            <v>1.33</v>
          </cell>
          <cell r="L1886">
            <v>9.5399999999999991</v>
          </cell>
        </row>
        <row r="1887">
          <cell r="D1887" t="str">
            <v xml:space="preserve">  K.222.            </v>
          </cell>
          <cell r="E1887" t="str">
            <v xml:space="preserve">      </v>
          </cell>
          <cell r="F1887" t="str">
            <v>2.1.2.13.</v>
          </cell>
          <cell r="G1887" t="str">
            <v xml:space="preserve">PVC ÁGUA FRIA Tê de redução 90o, soldável com bucha de latão na bolsa central:  </v>
          </cell>
          <cell r="H1887" t="str">
            <v xml:space="preserve">      </v>
          </cell>
          <cell r="I1887">
            <v>0</v>
          </cell>
          <cell r="J1887">
            <v>0</v>
          </cell>
          <cell r="K1887">
            <v>0</v>
          </cell>
          <cell r="L1887">
            <v>0</v>
          </cell>
        </row>
        <row r="1888">
          <cell r="D1888" t="str">
            <v xml:space="preserve">  K.223.            </v>
          </cell>
          <cell r="E1888" t="str">
            <v>CP2166</v>
          </cell>
          <cell r="F1888" t="str">
            <v>2.1.2.13.1</v>
          </cell>
          <cell r="G1888" t="str">
            <v xml:space="preserve">PVC ÁGUA FRIA Tê de redução 90o, soldável com bucha de latão na bolsa central: DN 25 x 25 x 3/4  </v>
          </cell>
          <cell r="H1888" t="str">
            <v xml:space="preserve">pç    </v>
          </cell>
          <cell r="I1888">
            <v>16</v>
          </cell>
          <cell r="J1888">
            <v>4.96</v>
          </cell>
          <cell r="K1888">
            <v>7.09</v>
          </cell>
          <cell r="L1888">
            <v>79.36</v>
          </cell>
        </row>
        <row r="1889">
          <cell r="D1889" t="str">
            <v xml:space="preserve">  K.224.            </v>
          </cell>
          <cell r="E1889" t="str">
            <v xml:space="preserve">      </v>
          </cell>
          <cell r="F1889" t="str">
            <v>2.1.2.14.</v>
          </cell>
          <cell r="G1889" t="str">
            <v xml:space="preserve">PVC ÁGUA FRIA Tubo de descarga:  </v>
          </cell>
          <cell r="H1889" t="str">
            <v xml:space="preserve">      </v>
          </cell>
          <cell r="I1889">
            <v>0</v>
          </cell>
          <cell r="J1889">
            <v>0</v>
          </cell>
          <cell r="K1889">
            <v>0</v>
          </cell>
          <cell r="L1889">
            <v>0</v>
          </cell>
        </row>
        <row r="1890">
          <cell r="D1890" t="str">
            <v xml:space="preserve">  K.225.            </v>
          </cell>
          <cell r="E1890" t="str">
            <v>CP2181</v>
          </cell>
          <cell r="F1890" t="str">
            <v>2.1.2.14.1</v>
          </cell>
          <cell r="G1890" t="str">
            <v xml:space="preserve">PVC ÁGUA FRIA Tubo de descarga: DN 38  </v>
          </cell>
          <cell r="H1890" t="str">
            <v xml:space="preserve">pç    </v>
          </cell>
          <cell r="I1890">
            <v>18</v>
          </cell>
          <cell r="J1890">
            <v>3.89</v>
          </cell>
          <cell r="K1890">
            <v>3.93</v>
          </cell>
          <cell r="L1890">
            <v>70.02</v>
          </cell>
        </row>
        <row r="1891">
          <cell r="D1891" t="str">
            <v xml:space="preserve">  K.226.            </v>
          </cell>
          <cell r="E1891" t="str">
            <v xml:space="preserve">      </v>
          </cell>
          <cell r="F1891" t="str">
            <v>2.1.3.</v>
          </cell>
          <cell r="G1891" t="str">
            <v xml:space="preserve">PVC ROSCÁVEL  </v>
          </cell>
          <cell r="H1891" t="str">
            <v xml:space="preserve">      </v>
          </cell>
          <cell r="I1891">
            <v>0</v>
          </cell>
          <cell r="J1891">
            <v>0</v>
          </cell>
          <cell r="K1891">
            <v>0</v>
          </cell>
          <cell r="L1891">
            <v>0</v>
          </cell>
        </row>
        <row r="1892">
          <cell r="D1892" t="str">
            <v xml:space="preserve">  K.227.            </v>
          </cell>
          <cell r="E1892" t="str">
            <v xml:space="preserve">      </v>
          </cell>
          <cell r="F1892" t="str">
            <v>2.1.3.1.</v>
          </cell>
          <cell r="G1892" t="str">
            <v xml:space="preserve">PVC ROSCÁVEL Flange com sextavado com rosca e sem furos:  </v>
          </cell>
          <cell r="H1892" t="str">
            <v xml:space="preserve">      </v>
          </cell>
          <cell r="I1892">
            <v>0</v>
          </cell>
          <cell r="J1892">
            <v>0</v>
          </cell>
          <cell r="K1892">
            <v>0</v>
          </cell>
          <cell r="L1892">
            <v>0</v>
          </cell>
        </row>
        <row r="1893">
          <cell r="D1893" t="str">
            <v xml:space="preserve">  K.228.            </v>
          </cell>
          <cell r="E1893" t="str">
            <v>CP1942</v>
          </cell>
          <cell r="F1893" t="str">
            <v>2.1.3.1.1</v>
          </cell>
          <cell r="G1893" t="str">
            <v xml:space="preserve">PVC ROSCÁVEL Flange com sextavado com rosca e sem furos: ø 2 1/2  </v>
          </cell>
          <cell r="H1893" t="str">
            <v xml:space="preserve">pç    </v>
          </cell>
          <cell r="I1893">
            <v>6</v>
          </cell>
          <cell r="J1893">
            <v>38.11</v>
          </cell>
          <cell r="K1893">
            <v>40.869999999999997</v>
          </cell>
          <cell r="L1893">
            <v>228.66</v>
          </cell>
        </row>
        <row r="1894">
          <cell r="D1894" t="str">
            <v xml:space="preserve">  K.229.            </v>
          </cell>
          <cell r="E1894" t="str">
            <v xml:space="preserve">      </v>
          </cell>
          <cell r="F1894" t="str">
            <v>2.1.4.</v>
          </cell>
          <cell r="G1894" t="str">
            <v xml:space="preserve">FERRO MALEÁVEL  </v>
          </cell>
          <cell r="H1894" t="str">
            <v xml:space="preserve">      </v>
          </cell>
          <cell r="I1894">
            <v>0</v>
          </cell>
          <cell r="J1894">
            <v>0</v>
          </cell>
          <cell r="K1894">
            <v>0</v>
          </cell>
          <cell r="L1894">
            <v>0</v>
          </cell>
        </row>
        <row r="1895">
          <cell r="D1895" t="str">
            <v xml:space="preserve">  K.230.            </v>
          </cell>
          <cell r="E1895" t="str">
            <v xml:space="preserve">      </v>
          </cell>
          <cell r="F1895" t="str">
            <v>2.1.4.1.</v>
          </cell>
          <cell r="G1895" t="str">
            <v xml:space="preserve">FERRO MALEÁVEL Tubo  </v>
          </cell>
          <cell r="H1895" t="str">
            <v xml:space="preserve">      </v>
          </cell>
          <cell r="I1895">
            <v>0</v>
          </cell>
          <cell r="J1895">
            <v>0</v>
          </cell>
          <cell r="K1895">
            <v>0</v>
          </cell>
          <cell r="L1895">
            <v>0</v>
          </cell>
        </row>
        <row r="1896">
          <cell r="D1896" t="str">
            <v xml:space="preserve">  K.231.            </v>
          </cell>
          <cell r="E1896" t="str">
            <v>CP0780</v>
          </cell>
          <cell r="F1896" t="str">
            <v>2.1.4.1.1</v>
          </cell>
          <cell r="G1896" t="str">
            <v xml:space="preserve">FERRO MALEÁVEL Tubo DN 2  </v>
          </cell>
          <cell r="H1896" t="str">
            <v xml:space="preserve">m     </v>
          </cell>
          <cell r="I1896">
            <v>18</v>
          </cell>
          <cell r="J1896">
            <v>12.9</v>
          </cell>
          <cell r="K1896">
            <v>10.76</v>
          </cell>
          <cell r="L1896">
            <v>232.2</v>
          </cell>
        </row>
        <row r="1897">
          <cell r="D1897" t="str">
            <v xml:space="preserve">  K.232.            </v>
          </cell>
          <cell r="E1897" t="str">
            <v xml:space="preserve">      </v>
          </cell>
          <cell r="F1897" t="str">
            <v>2.1.4.2.</v>
          </cell>
          <cell r="G1897" t="str">
            <v xml:space="preserve">FERRO MALEÁVEL Bucha de redução:  </v>
          </cell>
          <cell r="H1897" t="str">
            <v xml:space="preserve">      </v>
          </cell>
          <cell r="I1897">
            <v>0</v>
          </cell>
          <cell r="J1897">
            <v>0</v>
          </cell>
          <cell r="K1897">
            <v>0</v>
          </cell>
          <cell r="L1897">
            <v>0</v>
          </cell>
        </row>
        <row r="1898">
          <cell r="D1898" t="str">
            <v xml:space="preserve">  K.233.            </v>
          </cell>
          <cell r="E1898" t="str">
            <v>CP0947</v>
          </cell>
          <cell r="F1898" t="str">
            <v>2.1.4.2.1</v>
          </cell>
          <cell r="G1898" t="str">
            <v xml:space="preserve">FERRO MALEÁVEL Bucha de redução: DN 3/4 x 1/2  </v>
          </cell>
          <cell r="H1898" t="str">
            <v xml:space="preserve">pç    </v>
          </cell>
          <cell r="I1898">
            <v>1</v>
          </cell>
          <cell r="J1898">
            <v>2.27</v>
          </cell>
          <cell r="K1898">
            <v>1.9</v>
          </cell>
          <cell r="L1898">
            <v>2.27</v>
          </cell>
        </row>
        <row r="1899">
          <cell r="D1899" t="str">
            <v xml:space="preserve">  K.234.            </v>
          </cell>
          <cell r="E1899" t="str">
            <v xml:space="preserve">      </v>
          </cell>
          <cell r="F1899" t="str">
            <v>2.1.4.3.</v>
          </cell>
          <cell r="G1899" t="str">
            <v xml:space="preserve">FERRO MALEÁVEL Joelho 90o:  </v>
          </cell>
          <cell r="H1899" t="str">
            <v xml:space="preserve">      </v>
          </cell>
          <cell r="I1899">
            <v>0</v>
          </cell>
          <cell r="J1899">
            <v>0</v>
          </cell>
          <cell r="K1899">
            <v>0</v>
          </cell>
          <cell r="L1899">
            <v>0</v>
          </cell>
        </row>
        <row r="1900">
          <cell r="D1900" t="str">
            <v xml:space="preserve">  K.235.            </v>
          </cell>
          <cell r="E1900" t="str">
            <v>CP0792</v>
          </cell>
          <cell r="F1900" t="str">
            <v>2.1.4.3.1</v>
          </cell>
          <cell r="G1900" t="str">
            <v xml:space="preserve">FERRO MALEÁVEL Joelho 90o: DN 2  </v>
          </cell>
          <cell r="H1900" t="str">
            <v xml:space="preserve">pç    </v>
          </cell>
          <cell r="I1900">
            <v>4</v>
          </cell>
          <cell r="J1900">
            <v>19.059999999999999</v>
          </cell>
          <cell r="K1900">
            <v>23.32</v>
          </cell>
          <cell r="L1900">
            <v>76.239999999999995</v>
          </cell>
        </row>
        <row r="1901">
          <cell r="D1901" t="str">
            <v xml:space="preserve">  K.236.            </v>
          </cell>
          <cell r="E1901" t="str">
            <v xml:space="preserve">      </v>
          </cell>
          <cell r="F1901" t="str">
            <v>2.1.4.4.</v>
          </cell>
          <cell r="G1901" t="str">
            <v xml:space="preserve">FERRO MALEÁVEL Niples duplos:  </v>
          </cell>
          <cell r="H1901" t="str">
            <v xml:space="preserve">      </v>
          </cell>
          <cell r="I1901">
            <v>0</v>
          </cell>
          <cell r="J1901">
            <v>0</v>
          </cell>
          <cell r="K1901">
            <v>0</v>
          </cell>
          <cell r="L1901">
            <v>0</v>
          </cell>
        </row>
        <row r="1902">
          <cell r="D1902" t="str">
            <v xml:space="preserve">  K.237.            </v>
          </cell>
          <cell r="E1902" t="str">
            <v>CP0775</v>
          </cell>
          <cell r="F1902" t="str">
            <v>2.1.4.4.1</v>
          </cell>
          <cell r="G1902" t="str">
            <v xml:space="preserve">FERRO MALEÁVEL Niples duplos: DN 3/4  </v>
          </cell>
          <cell r="H1902" t="str">
            <v xml:space="preserve">pç    </v>
          </cell>
          <cell r="I1902">
            <v>4</v>
          </cell>
          <cell r="J1902">
            <v>1.62</v>
          </cell>
          <cell r="K1902">
            <v>1.35</v>
          </cell>
          <cell r="L1902">
            <v>6.48</v>
          </cell>
        </row>
        <row r="1903">
          <cell r="D1903" t="str">
            <v xml:space="preserve">  K.238.            </v>
          </cell>
          <cell r="E1903" t="str">
            <v xml:space="preserve">      </v>
          </cell>
          <cell r="F1903" t="str">
            <v>2.1.4.5.</v>
          </cell>
          <cell r="G1903" t="str">
            <v xml:space="preserve">FERRO MALEÁVEL União:  </v>
          </cell>
          <cell r="H1903" t="str">
            <v xml:space="preserve">      </v>
          </cell>
          <cell r="I1903">
            <v>0</v>
          </cell>
          <cell r="J1903">
            <v>0</v>
          </cell>
          <cell r="K1903">
            <v>0</v>
          </cell>
          <cell r="L1903">
            <v>0</v>
          </cell>
        </row>
        <row r="1904">
          <cell r="D1904" t="str">
            <v xml:space="preserve">  K.239.            </v>
          </cell>
          <cell r="E1904" t="str">
            <v>CP0919</v>
          </cell>
          <cell r="F1904" t="str">
            <v>2.1.4.5.1</v>
          </cell>
          <cell r="G1904" t="str">
            <v xml:space="preserve">FERRO MALEÁVEL União: DN 3/4  </v>
          </cell>
          <cell r="H1904" t="str">
            <v xml:space="preserve">pç    </v>
          </cell>
          <cell r="I1904">
            <v>2</v>
          </cell>
          <cell r="J1904">
            <v>5.65</v>
          </cell>
          <cell r="K1904">
            <v>4.72</v>
          </cell>
          <cell r="L1904">
            <v>11.3</v>
          </cell>
        </row>
        <row r="1905">
          <cell r="D1905" t="str">
            <v xml:space="preserve">  K.240.            </v>
          </cell>
          <cell r="E1905" t="str">
            <v xml:space="preserve">      </v>
          </cell>
          <cell r="F1905" t="str">
            <v>2.1.5.</v>
          </cell>
          <cell r="G1905" t="str">
            <v xml:space="preserve">DIVERSOS  </v>
          </cell>
          <cell r="H1905" t="str">
            <v xml:space="preserve">      </v>
          </cell>
          <cell r="I1905">
            <v>0</v>
          </cell>
          <cell r="J1905">
            <v>0</v>
          </cell>
          <cell r="K1905">
            <v>0</v>
          </cell>
          <cell r="L1905">
            <v>0</v>
          </cell>
        </row>
        <row r="1906">
          <cell r="D1906" t="str">
            <v xml:space="preserve">  K.241.            </v>
          </cell>
          <cell r="E1906" t="str">
            <v>CP1718</v>
          </cell>
          <cell r="F1906" t="str">
            <v>2.1.5.1.</v>
          </cell>
          <cell r="G1906" t="str">
            <v xml:space="preserve">Vaso sanitário em louça  </v>
          </cell>
          <cell r="H1906" t="str">
            <v xml:space="preserve">pç    </v>
          </cell>
          <cell r="I1906">
            <v>18</v>
          </cell>
          <cell r="J1906">
            <v>64.63</v>
          </cell>
          <cell r="K1906">
            <v>53.89</v>
          </cell>
          <cell r="L1906">
            <v>1163.3399999999999</v>
          </cell>
        </row>
        <row r="1907">
          <cell r="D1907" t="str">
            <v xml:space="preserve">  K.242.            </v>
          </cell>
          <cell r="E1907" t="str">
            <v>CP0704</v>
          </cell>
          <cell r="F1907" t="str">
            <v>2.1.5.2.</v>
          </cell>
          <cell r="G1907" t="str">
            <v xml:space="preserve">Lavatório sem coluna  </v>
          </cell>
          <cell r="H1907" t="str">
            <v xml:space="preserve">pç    </v>
          </cell>
          <cell r="I1907">
            <v>26</v>
          </cell>
          <cell r="J1907">
            <v>34.229999999999997</v>
          </cell>
          <cell r="K1907">
            <v>28.7</v>
          </cell>
          <cell r="L1907">
            <v>889.98</v>
          </cell>
        </row>
        <row r="1908">
          <cell r="D1908" t="str">
            <v xml:space="preserve">  K.243.            </v>
          </cell>
          <cell r="E1908" t="str">
            <v>CP0712</v>
          </cell>
          <cell r="F1908" t="str">
            <v>2.1.5.3.</v>
          </cell>
          <cell r="G1908" t="str">
            <v xml:space="preserve">Tubo de ligação cromado, D=40 mm  </v>
          </cell>
          <cell r="H1908" t="str">
            <v xml:space="preserve">pç    </v>
          </cell>
          <cell r="I1908">
            <v>26</v>
          </cell>
          <cell r="J1908">
            <v>18.05</v>
          </cell>
          <cell r="K1908">
            <v>22.3</v>
          </cell>
          <cell r="L1908">
            <v>469.3</v>
          </cell>
        </row>
        <row r="1909">
          <cell r="D1909" t="str">
            <v xml:space="preserve">  K.244.            </v>
          </cell>
          <cell r="E1909" t="str">
            <v xml:space="preserve">      </v>
          </cell>
          <cell r="F1909" t="str">
            <v>2.1.5.4.</v>
          </cell>
          <cell r="G1909" t="str">
            <v xml:space="preserve">Sifão:  </v>
          </cell>
          <cell r="H1909" t="str">
            <v xml:space="preserve">      </v>
          </cell>
          <cell r="I1909">
            <v>0</v>
          </cell>
          <cell r="J1909">
            <v>0</v>
          </cell>
          <cell r="K1909">
            <v>0</v>
          </cell>
          <cell r="L1909">
            <v>0</v>
          </cell>
        </row>
        <row r="1910">
          <cell r="D1910" t="str">
            <v xml:space="preserve">  K.245.            </v>
          </cell>
          <cell r="E1910" t="str">
            <v>CP0700</v>
          </cell>
          <cell r="F1910" t="str">
            <v>2.1.5.4.1</v>
          </cell>
          <cell r="G1910" t="str">
            <v xml:space="preserve">Sifão: para lavatório DN 1 x 1 1/2  </v>
          </cell>
          <cell r="H1910" t="str">
            <v xml:space="preserve">pç    </v>
          </cell>
          <cell r="I1910">
            <v>26</v>
          </cell>
          <cell r="J1910">
            <v>42.26</v>
          </cell>
          <cell r="K1910">
            <v>35.46</v>
          </cell>
          <cell r="L1910">
            <v>1098.76</v>
          </cell>
        </row>
        <row r="1911">
          <cell r="D1911" t="str">
            <v xml:space="preserve">  K.246.            </v>
          </cell>
          <cell r="E1911" t="str">
            <v>CP1815</v>
          </cell>
          <cell r="F1911" t="str">
            <v>2.1.5.4.2</v>
          </cell>
          <cell r="G1911" t="str">
            <v xml:space="preserve">Sifão: para pia DN 1 1/2 x 1 1/2  </v>
          </cell>
          <cell r="H1911" t="str">
            <v xml:space="preserve">pç    </v>
          </cell>
          <cell r="I1911">
            <v>9</v>
          </cell>
          <cell r="J1911">
            <v>60.79</v>
          </cell>
          <cell r="K1911">
            <v>50.83</v>
          </cell>
          <cell r="L1911">
            <v>547.11</v>
          </cell>
        </row>
        <row r="1912">
          <cell r="D1912" t="str">
            <v xml:space="preserve">  K.247.            </v>
          </cell>
          <cell r="E1912" t="str">
            <v xml:space="preserve">      </v>
          </cell>
          <cell r="F1912" t="str">
            <v>2.1.5.5.</v>
          </cell>
          <cell r="G1912" t="str">
            <v xml:space="preserve">Conjunto de metais:  </v>
          </cell>
          <cell r="H1912" t="str">
            <v xml:space="preserve">      </v>
          </cell>
          <cell r="I1912">
            <v>0</v>
          </cell>
          <cell r="J1912">
            <v>0</v>
          </cell>
          <cell r="K1912">
            <v>0</v>
          </cell>
          <cell r="L1912">
            <v>0</v>
          </cell>
        </row>
        <row r="1913">
          <cell r="D1913" t="str">
            <v xml:space="preserve">  K.248.            </v>
          </cell>
          <cell r="E1913" t="str">
            <v>CP1769</v>
          </cell>
          <cell r="F1913" t="str">
            <v>2.1.5.5.1</v>
          </cell>
          <cell r="G1913" t="str">
            <v xml:space="preserve">Conjunto de metais: para lavatório com uma água  </v>
          </cell>
          <cell r="H1913" t="str">
            <v xml:space="preserve">pç    </v>
          </cell>
          <cell r="I1913">
            <v>26</v>
          </cell>
          <cell r="J1913">
            <v>133.80000000000001</v>
          </cell>
          <cell r="K1913">
            <v>111.82</v>
          </cell>
          <cell r="L1913">
            <v>3478.8</v>
          </cell>
        </row>
        <row r="1914">
          <cell r="D1914" t="str">
            <v xml:space="preserve">  K.249.            </v>
          </cell>
          <cell r="E1914" t="str">
            <v>CP3011</v>
          </cell>
          <cell r="F1914" t="str">
            <v>2.1.5.5.2</v>
          </cell>
          <cell r="G1914" t="str">
            <v xml:space="preserve">Conjunto de metais: para pia com uma água (torneira com adaptador para mangueira)  </v>
          </cell>
          <cell r="H1914" t="str">
            <v xml:space="preserve">un    </v>
          </cell>
          <cell r="I1914">
            <v>9</v>
          </cell>
          <cell r="J1914">
            <v>126.02</v>
          </cell>
          <cell r="K1914">
            <v>180.03</v>
          </cell>
          <cell r="L1914">
            <v>1134.18</v>
          </cell>
        </row>
        <row r="1915">
          <cell r="D1915" t="str">
            <v xml:space="preserve">  K.250.            </v>
          </cell>
          <cell r="E1915" t="str">
            <v xml:space="preserve">      </v>
          </cell>
          <cell r="F1915" t="str">
            <v>2.1.5.6.</v>
          </cell>
          <cell r="G1915" t="str">
            <v xml:space="preserve">Bojo em aço inox:  </v>
          </cell>
          <cell r="H1915" t="str">
            <v xml:space="preserve">      </v>
          </cell>
          <cell r="I1915">
            <v>0</v>
          </cell>
          <cell r="J1915">
            <v>0</v>
          </cell>
          <cell r="K1915">
            <v>0</v>
          </cell>
          <cell r="L1915">
            <v>0</v>
          </cell>
        </row>
        <row r="1916">
          <cell r="D1916" t="str">
            <v xml:space="preserve">  K.251.            </v>
          </cell>
          <cell r="E1916" t="str">
            <v>CP1738</v>
          </cell>
          <cell r="F1916" t="str">
            <v>2.1.5.6.1</v>
          </cell>
          <cell r="G1916" t="str">
            <v xml:space="preserve">Bojo em aço inox: No 2  </v>
          </cell>
          <cell r="H1916" t="str">
            <v xml:space="preserve">un    </v>
          </cell>
          <cell r="I1916">
            <v>9</v>
          </cell>
          <cell r="J1916">
            <v>146.63</v>
          </cell>
          <cell r="K1916">
            <v>209.47</v>
          </cell>
          <cell r="L1916">
            <v>1319.67</v>
          </cell>
        </row>
        <row r="1917">
          <cell r="D1917" t="str">
            <v xml:space="preserve">  K.252.            </v>
          </cell>
          <cell r="E1917" t="str">
            <v xml:space="preserve">      </v>
          </cell>
          <cell r="F1917" t="str">
            <v>2.1.5.7.</v>
          </cell>
          <cell r="G1917" t="str">
            <v xml:space="preserve">Torneira:  </v>
          </cell>
          <cell r="H1917" t="str">
            <v xml:space="preserve">      </v>
          </cell>
          <cell r="I1917">
            <v>0</v>
          </cell>
          <cell r="J1917">
            <v>0</v>
          </cell>
          <cell r="K1917">
            <v>0</v>
          </cell>
          <cell r="L1917">
            <v>0</v>
          </cell>
        </row>
        <row r="1918">
          <cell r="D1918" t="str">
            <v xml:space="preserve">  K.253.            </v>
          </cell>
          <cell r="E1918" t="str">
            <v>CP1675</v>
          </cell>
          <cell r="F1918" t="str">
            <v>2.1.5.7.1</v>
          </cell>
          <cell r="G1918" t="str">
            <v xml:space="preserve">Torneira: para pia com adaptador para mangueira DN 1/2  </v>
          </cell>
          <cell r="H1918" t="str">
            <v xml:space="preserve">un    </v>
          </cell>
          <cell r="I1918">
            <v>8</v>
          </cell>
          <cell r="J1918">
            <v>30.97</v>
          </cell>
          <cell r="K1918">
            <v>25.96</v>
          </cell>
          <cell r="L1918">
            <v>247.76</v>
          </cell>
        </row>
        <row r="1919">
          <cell r="D1919" t="str">
            <v xml:space="preserve">  K.254.            </v>
          </cell>
          <cell r="E1919" t="str">
            <v>CP1694</v>
          </cell>
          <cell r="F1919" t="str">
            <v>2.1.5.8.</v>
          </cell>
          <cell r="G1919" t="str">
            <v xml:space="preserve">Filtro de parede com registro DN 1/2  </v>
          </cell>
          <cell r="H1919" t="str">
            <v xml:space="preserve">un    </v>
          </cell>
          <cell r="I1919">
            <v>1</v>
          </cell>
          <cell r="J1919">
            <v>120.22</v>
          </cell>
          <cell r="K1919">
            <v>156.75</v>
          </cell>
          <cell r="L1919">
            <v>120.22</v>
          </cell>
        </row>
        <row r="1920">
          <cell r="D1920" t="str">
            <v xml:space="preserve">  K.255.            </v>
          </cell>
          <cell r="E1920" t="str">
            <v>CP1814</v>
          </cell>
          <cell r="F1920" t="str">
            <v>2.1.5.9.</v>
          </cell>
          <cell r="G1920" t="str">
            <v xml:space="preserve">Lava-olhos  </v>
          </cell>
          <cell r="H1920" t="str">
            <v xml:space="preserve">un    </v>
          </cell>
          <cell r="I1920">
            <v>1</v>
          </cell>
          <cell r="J1920">
            <v>370.85</v>
          </cell>
          <cell r="K1920">
            <v>310</v>
          </cell>
          <cell r="L1920">
            <v>370.85</v>
          </cell>
        </row>
        <row r="1921">
          <cell r="D1921" t="str">
            <v xml:space="preserve">  K.256.            </v>
          </cell>
          <cell r="E1921" t="str">
            <v>CP1897</v>
          </cell>
          <cell r="F1921" t="str">
            <v>2.1.5.10.</v>
          </cell>
          <cell r="G1921" t="str">
            <v xml:space="preserve">Chuveiro elétrico  </v>
          </cell>
          <cell r="H1921" t="str">
            <v xml:space="preserve">un    </v>
          </cell>
          <cell r="I1921">
            <v>12</v>
          </cell>
          <cell r="J1921">
            <v>83.95</v>
          </cell>
          <cell r="K1921">
            <v>119.93</v>
          </cell>
          <cell r="L1921">
            <v>1007.4</v>
          </cell>
        </row>
        <row r="1922">
          <cell r="D1922" t="str">
            <v xml:space="preserve">  K.257.            </v>
          </cell>
          <cell r="E1922" t="str">
            <v xml:space="preserve">      </v>
          </cell>
          <cell r="F1922" t="str">
            <v>2.1.5.11.</v>
          </cell>
          <cell r="G1922" t="str">
            <v xml:space="preserve">Caixa d'água, em fibra de vidro  </v>
          </cell>
          <cell r="H1922" t="str">
            <v xml:space="preserve">      </v>
          </cell>
          <cell r="I1922">
            <v>0</v>
          </cell>
          <cell r="J1922">
            <v>0</v>
          </cell>
          <cell r="K1922">
            <v>0</v>
          </cell>
          <cell r="L1922">
            <v>0</v>
          </cell>
        </row>
        <row r="1923">
          <cell r="D1923" t="str">
            <v xml:space="preserve">  K.258.            </v>
          </cell>
          <cell r="E1923" t="str">
            <v>CP1635</v>
          </cell>
          <cell r="F1923" t="str">
            <v>2.1.5.11.1</v>
          </cell>
          <cell r="G1923" t="str">
            <v xml:space="preserve">Caixa d'água, em fibra de vidro Capacidade 1000 l  </v>
          </cell>
          <cell r="H1923" t="str">
            <v xml:space="preserve">un    </v>
          </cell>
          <cell r="I1923">
            <v>6</v>
          </cell>
          <cell r="J1923">
            <v>422.99</v>
          </cell>
          <cell r="K1923">
            <v>354.24</v>
          </cell>
          <cell r="L1923">
            <v>2537.94</v>
          </cell>
        </row>
        <row r="1924">
          <cell r="D1924" t="str">
            <v xml:space="preserve">  K.259.            </v>
          </cell>
          <cell r="E1924" t="str">
            <v>CP1706</v>
          </cell>
          <cell r="F1924" t="str">
            <v>2.1.5.11.2</v>
          </cell>
          <cell r="G1924" t="str">
            <v xml:space="preserve">Caixa d'água, em fibra de vidro Capacidade 250 l  </v>
          </cell>
          <cell r="H1924" t="str">
            <v xml:space="preserve">un    </v>
          </cell>
          <cell r="I1924">
            <v>1</v>
          </cell>
          <cell r="J1924">
            <v>167.77</v>
          </cell>
          <cell r="K1924">
            <v>140.96</v>
          </cell>
          <cell r="L1924">
            <v>167.77</v>
          </cell>
        </row>
        <row r="1925">
          <cell r="D1925" t="str">
            <v xml:space="preserve">  K.260.            </v>
          </cell>
          <cell r="E1925" t="str">
            <v>CP1562</v>
          </cell>
          <cell r="F1925" t="str">
            <v>2.1.5.12.</v>
          </cell>
          <cell r="G1925" t="str">
            <v xml:space="preserve">Bebedouro elétrico  </v>
          </cell>
          <cell r="H1925" t="str">
            <v xml:space="preserve">un    </v>
          </cell>
          <cell r="I1925">
            <v>4</v>
          </cell>
          <cell r="J1925">
            <v>701.27</v>
          </cell>
          <cell r="K1925">
            <v>655</v>
          </cell>
          <cell r="L1925">
            <v>2805.08</v>
          </cell>
        </row>
        <row r="1926">
          <cell r="D1926" t="str">
            <v xml:space="preserve">  K.261.            </v>
          </cell>
          <cell r="E1926" t="str">
            <v xml:space="preserve">      </v>
          </cell>
          <cell r="F1926" t="str">
            <v>2.1.5.13.</v>
          </cell>
          <cell r="G1926" t="str">
            <v xml:space="preserve">Registro de gaveta, em bronze, acabamento bruto:  </v>
          </cell>
          <cell r="H1926" t="str">
            <v xml:space="preserve">      </v>
          </cell>
          <cell r="I1926">
            <v>0</v>
          </cell>
          <cell r="J1926">
            <v>0</v>
          </cell>
          <cell r="K1926">
            <v>0</v>
          </cell>
          <cell r="L1926">
            <v>0</v>
          </cell>
        </row>
        <row r="1927">
          <cell r="D1927" t="str">
            <v xml:space="preserve">  K.262.            </v>
          </cell>
          <cell r="E1927" t="str">
            <v>CP0797</v>
          </cell>
          <cell r="F1927" t="str">
            <v>2.1.5.13.1</v>
          </cell>
          <cell r="G1927" t="str">
            <v xml:space="preserve">Registro de gaveta, em bronze, acabamento bruto: DN 2 1/2  </v>
          </cell>
          <cell r="H1927" t="str">
            <v xml:space="preserve">un    </v>
          </cell>
          <cell r="I1927">
            <v>2</v>
          </cell>
          <cell r="J1927">
            <v>223.74</v>
          </cell>
          <cell r="K1927">
            <v>187.24</v>
          </cell>
          <cell r="L1927">
            <v>447.48</v>
          </cell>
        </row>
        <row r="1928">
          <cell r="D1928" t="str">
            <v xml:space="preserve">  K.263.            </v>
          </cell>
          <cell r="E1928" t="str">
            <v>CP0925</v>
          </cell>
          <cell r="F1928" t="str">
            <v>2.1.5.13.2</v>
          </cell>
          <cell r="G1928" t="str">
            <v xml:space="preserve">Registro de gaveta, em bronze, acabamento bruto: DN 2  </v>
          </cell>
          <cell r="H1928" t="str">
            <v xml:space="preserve">un    </v>
          </cell>
          <cell r="I1928">
            <v>1</v>
          </cell>
          <cell r="J1928">
            <v>24.25</v>
          </cell>
          <cell r="K1928">
            <v>20.350000000000001</v>
          </cell>
          <cell r="L1928">
            <v>24.25</v>
          </cell>
        </row>
        <row r="1929">
          <cell r="D1929" t="str">
            <v xml:space="preserve">  K.264.            </v>
          </cell>
          <cell r="E1929" t="str">
            <v>CP0929</v>
          </cell>
          <cell r="F1929" t="str">
            <v>2.1.5.13.3</v>
          </cell>
          <cell r="G1929" t="str">
            <v xml:space="preserve">Registro de gaveta, em bronze, acabamento bruto: DN 1  </v>
          </cell>
          <cell r="H1929" t="str">
            <v xml:space="preserve">un    </v>
          </cell>
          <cell r="I1929">
            <v>1</v>
          </cell>
          <cell r="J1929">
            <v>16.559999999999999</v>
          </cell>
          <cell r="K1929">
            <v>13.9</v>
          </cell>
          <cell r="L1929">
            <v>16.559999999999999</v>
          </cell>
        </row>
        <row r="1930">
          <cell r="D1930" t="str">
            <v xml:space="preserve">  K.265.            </v>
          </cell>
          <cell r="E1930" t="str">
            <v>CP0932</v>
          </cell>
          <cell r="F1930" t="str">
            <v>2.1.5.13.4</v>
          </cell>
          <cell r="G1930" t="str">
            <v xml:space="preserve">Registro de gaveta, em bronze, acabamento bruto: DN 3/4  </v>
          </cell>
          <cell r="H1930" t="str">
            <v xml:space="preserve">un    </v>
          </cell>
          <cell r="I1930">
            <v>1</v>
          </cell>
          <cell r="J1930">
            <v>8.4</v>
          </cell>
          <cell r="K1930">
            <v>7.04</v>
          </cell>
          <cell r="L1930">
            <v>8.4</v>
          </cell>
        </row>
        <row r="1931">
          <cell r="D1931" t="str">
            <v xml:space="preserve">  K.266.            </v>
          </cell>
          <cell r="E1931" t="str">
            <v xml:space="preserve">      </v>
          </cell>
          <cell r="F1931" t="str">
            <v>2.1.5.14.</v>
          </cell>
          <cell r="G1931" t="str">
            <v xml:space="preserve">Registro de gaveta, em bronze, acabamento cromado:  </v>
          </cell>
          <cell r="H1931" t="str">
            <v xml:space="preserve">      </v>
          </cell>
          <cell r="I1931">
            <v>0</v>
          </cell>
          <cell r="J1931">
            <v>0</v>
          </cell>
          <cell r="K1931">
            <v>0</v>
          </cell>
          <cell r="L1931">
            <v>0</v>
          </cell>
        </row>
        <row r="1932">
          <cell r="D1932" t="str">
            <v xml:space="preserve">  K.267.            </v>
          </cell>
          <cell r="E1932" t="str">
            <v>CP1791</v>
          </cell>
          <cell r="F1932" t="str">
            <v>2.1.5.14.1</v>
          </cell>
          <cell r="G1932" t="str">
            <v xml:space="preserve">Registro de gaveta, em bronze, acabamento cromado: DN 1 1/2  </v>
          </cell>
          <cell r="H1932" t="str">
            <v xml:space="preserve">un    </v>
          </cell>
          <cell r="I1932">
            <v>2</v>
          </cell>
          <cell r="J1932">
            <v>122.21</v>
          </cell>
          <cell r="K1932">
            <v>101.79</v>
          </cell>
          <cell r="L1932">
            <v>244.42</v>
          </cell>
        </row>
        <row r="1933">
          <cell r="D1933" t="str">
            <v xml:space="preserve">  K.268.            </v>
          </cell>
          <cell r="E1933" t="str">
            <v>CP1812</v>
          </cell>
          <cell r="F1933" t="str">
            <v>2.1.5.14.2</v>
          </cell>
          <cell r="G1933" t="str">
            <v xml:space="preserve">Registro de gaveta, em bronze, acabamento cromado: DN 1 1/4  </v>
          </cell>
          <cell r="H1933" t="str">
            <v xml:space="preserve">un    </v>
          </cell>
          <cell r="I1933">
            <v>18</v>
          </cell>
          <cell r="J1933">
            <v>67.67</v>
          </cell>
          <cell r="K1933">
            <v>56.41</v>
          </cell>
          <cell r="L1933">
            <v>1218.06</v>
          </cell>
        </row>
        <row r="1934">
          <cell r="D1934" t="str">
            <v xml:space="preserve">  K.269.            </v>
          </cell>
          <cell r="E1934" t="str">
            <v>CP1827</v>
          </cell>
          <cell r="F1934" t="str">
            <v>2.1.5.14.3</v>
          </cell>
          <cell r="G1934" t="str">
            <v xml:space="preserve">Registro de gaveta, em bronze, acabamento cromado: DN 1  </v>
          </cell>
          <cell r="H1934" t="str">
            <v xml:space="preserve">un    </v>
          </cell>
          <cell r="I1934">
            <v>3</v>
          </cell>
          <cell r="J1934">
            <v>48.68</v>
          </cell>
          <cell r="K1934">
            <v>40.78</v>
          </cell>
          <cell r="L1934">
            <v>146.04</v>
          </cell>
        </row>
        <row r="1935">
          <cell r="D1935" t="str">
            <v xml:space="preserve">  K.270.            </v>
          </cell>
          <cell r="E1935" t="str">
            <v>CP1833</v>
          </cell>
          <cell r="F1935" t="str">
            <v>2.1.5.14.4</v>
          </cell>
          <cell r="G1935" t="str">
            <v xml:space="preserve">Registro de gaveta, em bronze, acabamento cromado: DN 3/4  </v>
          </cell>
          <cell r="H1935" t="str">
            <v xml:space="preserve">un    </v>
          </cell>
          <cell r="I1935">
            <v>10</v>
          </cell>
          <cell r="J1935">
            <v>55.86</v>
          </cell>
          <cell r="K1935">
            <v>46.85</v>
          </cell>
          <cell r="L1935">
            <v>558.6</v>
          </cell>
        </row>
        <row r="1936">
          <cell r="D1936" t="str">
            <v xml:space="preserve">  K.271.            </v>
          </cell>
          <cell r="E1936" t="str">
            <v>CP1849</v>
          </cell>
          <cell r="F1936" t="str">
            <v>2.1.5.14.5</v>
          </cell>
          <cell r="G1936" t="str">
            <v xml:space="preserve">Registro de gaveta, em bronze, acabamento cromado: DN 1/2  </v>
          </cell>
          <cell r="H1936" t="str">
            <v xml:space="preserve">un    </v>
          </cell>
          <cell r="I1936">
            <v>2</v>
          </cell>
          <cell r="J1936">
            <v>63.12</v>
          </cell>
          <cell r="K1936">
            <v>52.92</v>
          </cell>
          <cell r="L1936">
            <v>126.24</v>
          </cell>
        </row>
        <row r="1937">
          <cell r="D1937" t="str">
            <v xml:space="preserve">  K.272.            </v>
          </cell>
          <cell r="E1937" t="str">
            <v xml:space="preserve">      </v>
          </cell>
          <cell r="F1937" t="str">
            <v>2.1.5.15.</v>
          </cell>
          <cell r="G1937" t="str">
            <v xml:space="preserve">Registro de pressão em bronze, acabamento cromado:  </v>
          </cell>
          <cell r="H1937" t="str">
            <v xml:space="preserve">      </v>
          </cell>
          <cell r="I1937">
            <v>0</v>
          </cell>
          <cell r="J1937">
            <v>0</v>
          </cell>
          <cell r="K1937">
            <v>0</v>
          </cell>
          <cell r="L1937">
            <v>0</v>
          </cell>
        </row>
        <row r="1938">
          <cell r="D1938" t="str">
            <v xml:space="preserve">  K.273.            </v>
          </cell>
          <cell r="E1938" t="str">
            <v>CP1810</v>
          </cell>
          <cell r="F1938" t="str">
            <v>2.1.5.15.1</v>
          </cell>
          <cell r="G1938" t="str">
            <v xml:space="preserve">Registro de pressão em bronze, acabamento cromado: DN 3/4  </v>
          </cell>
          <cell r="H1938" t="str">
            <v xml:space="preserve">un    </v>
          </cell>
          <cell r="I1938">
            <v>9</v>
          </cell>
          <cell r="J1938">
            <v>54.94</v>
          </cell>
          <cell r="K1938">
            <v>46</v>
          </cell>
          <cell r="L1938">
            <v>494.46</v>
          </cell>
        </row>
        <row r="1939">
          <cell r="D1939" t="str">
            <v xml:space="preserve">  K.274.            </v>
          </cell>
          <cell r="E1939" t="str">
            <v>CP1840</v>
          </cell>
          <cell r="F1939" t="str">
            <v>2.1.5.15.2</v>
          </cell>
          <cell r="G1939" t="str">
            <v xml:space="preserve">Registro de pressão em bronze, acabamento cromado: DN 1/2  </v>
          </cell>
          <cell r="H1939" t="str">
            <v xml:space="preserve">un    </v>
          </cell>
          <cell r="I1939">
            <v>4</v>
          </cell>
          <cell r="J1939">
            <v>34.75</v>
          </cell>
          <cell r="K1939">
            <v>29.17</v>
          </cell>
          <cell r="L1939">
            <v>139</v>
          </cell>
        </row>
        <row r="1940">
          <cell r="D1940" t="str">
            <v xml:space="preserve">  K.275.            </v>
          </cell>
          <cell r="E1940" t="str">
            <v xml:space="preserve">      </v>
          </cell>
          <cell r="F1940" t="str">
            <v>2.1.5.16.</v>
          </cell>
          <cell r="G1940" t="str">
            <v xml:space="preserve">Torneira de bóia:  </v>
          </cell>
          <cell r="H1940" t="str">
            <v xml:space="preserve">      </v>
          </cell>
          <cell r="I1940">
            <v>0</v>
          </cell>
          <cell r="J1940">
            <v>0</v>
          </cell>
          <cell r="K1940">
            <v>0</v>
          </cell>
          <cell r="L1940">
            <v>0</v>
          </cell>
        </row>
        <row r="1941">
          <cell r="D1941" t="str">
            <v xml:space="preserve">  K.276.            </v>
          </cell>
          <cell r="E1941" t="str">
            <v>CP1749</v>
          </cell>
          <cell r="F1941" t="str">
            <v>2.1.5.16.1</v>
          </cell>
          <cell r="G1941" t="str">
            <v xml:space="preserve">Torneira de bóia: DN 2  </v>
          </cell>
          <cell r="H1941" t="str">
            <v xml:space="preserve">un    </v>
          </cell>
          <cell r="I1941">
            <v>1</v>
          </cell>
          <cell r="J1941">
            <v>125.84</v>
          </cell>
          <cell r="K1941">
            <v>105.73</v>
          </cell>
          <cell r="L1941">
            <v>125.84</v>
          </cell>
        </row>
        <row r="1942">
          <cell r="D1942" t="str">
            <v xml:space="preserve">  K.277.            </v>
          </cell>
          <cell r="E1942" t="str">
            <v>CP1871</v>
          </cell>
          <cell r="F1942" t="str">
            <v>2.1.5.16.2</v>
          </cell>
          <cell r="G1942" t="str">
            <v xml:space="preserve">Torneira de bóia: DN 3/4  </v>
          </cell>
          <cell r="H1942" t="str">
            <v xml:space="preserve">un    </v>
          </cell>
          <cell r="I1942">
            <v>2</v>
          </cell>
          <cell r="J1942">
            <v>31.12</v>
          </cell>
          <cell r="K1942">
            <v>26.12</v>
          </cell>
          <cell r="L1942">
            <v>62.24</v>
          </cell>
        </row>
        <row r="1943">
          <cell r="D1943" t="str">
            <v xml:space="preserve">  K.278.            </v>
          </cell>
          <cell r="E1943" t="str">
            <v xml:space="preserve">      </v>
          </cell>
          <cell r="F1943" t="str">
            <v>2.1.5.17.</v>
          </cell>
          <cell r="G1943" t="str">
            <v xml:space="preserve">Válvula de descarga:  </v>
          </cell>
          <cell r="H1943" t="str">
            <v xml:space="preserve">      </v>
          </cell>
          <cell r="I1943">
            <v>0</v>
          </cell>
          <cell r="J1943">
            <v>0</v>
          </cell>
          <cell r="K1943">
            <v>0</v>
          </cell>
          <cell r="L1943">
            <v>0</v>
          </cell>
        </row>
        <row r="1944">
          <cell r="D1944" t="str">
            <v xml:space="preserve">  K.279.            </v>
          </cell>
          <cell r="E1944" t="str">
            <v>CP0708</v>
          </cell>
          <cell r="F1944" t="str">
            <v>2.1.5.17.1</v>
          </cell>
          <cell r="G1944" t="str">
            <v xml:space="preserve">Válvula de descarga: DN 1 1/2  </v>
          </cell>
          <cell r="H1944" t="str">
            <v xml:space="preserve">un    </v>
          </cell>
          <cell r="I1944">
            <v>2</v>
          </cell>
          <cell r="J1944">
            <v>117.34</v>
          </cell>
          <cell r="K1944">
            <v>98.6</v>
          </cell>
          <cell r="L1944">
            <v>234.68</v>
          </cell>
        </row>
        <row r="1945">
          <cell r="D1945" t="str">
            <v xml:space="preserve">  K.280.            </v>
          </cell>
          <cell r="E1945" t="str">
            <v>CP1727</v>
          </cell>
          <cell r="F1945" t="str">
            <v>2.1.5.17.2</v>
          </cell>
          <cell r="G1945" t="str">
            <v xml:space="preserve">Válvula de descarga: DN 1 1/4  </v>
          </cell>
          <cell r="H1945" t="str">
            <v xml:space="preserve">un    </v>
          </cell>
          <cell r="I1945">
            <v>16</v>
          </cell>
          <cell r="J1945">
            <v>121.92</v>
          </cell>
          <cell r="K1945">
            <v>101.92</v>
          </cell>
          <cell r="L1945">
            <v>1950.72</v>
          </cell>
        </row>
        <row r="1946">
          <cell r="D1946" t="str">
            <v xml:space="preserve">  K.281.            </v>
          </cell>
          <cell r="E1946" t="str">
            <v xml:space="preserve">      </v>
          </cell>
          <cell r="F1946" t="str">
            <v>2.1.5.18.</v>
          </cell>
          <cell r="G1946" t="str">
            <v xml:space="preserve">Válvula de pé com crivo:  </v>
          </cell>
          <cell r="H1946" t="str">
            <v xml:space="preserve">      </v>
          </cell>
          <cell r="I1946">
            <v>0</v>
          </cell>
          <cell r="J1946">
            <v>0</v>
          </cell>
          <cell r="K1946">
            <v>0</v>
          </cell>
          <cell r="L1946">
            <v>0</v>
          </cell>
        </row>
        <row r="1947">
          <cell r="D1947" t="str">
            <v xml:space="preserve">  K.282.            </v>
          </cell>
          <cell r="E1947" t="str">
            <v>CP1985</v>
          </cell>
          <cell r="F1947" t="str">
            <v>2.1.5.18.1</v>
          </cell>
          <cell r="G1947" t="str">
            <v xml:space="preserve">Válvula de pé com crivo: DN 3/4  </v>
          </cell>
          <cell r="H1947" t="str">
            <v xml:space="preserve">un    </v>
          </cell>
          <cell r="I1947">
            <v>1</v>
          </cell>
          <cell r="J1947">
            <v>52.37</v>
          </cell>
          <cell r="K1947">
            <v>43.82</v>
          </cell>
          <cell r="L1947">
            <v>52.37</v>
          </cell>
        </row>
        <row r="1948">
          <cell r="D1948" t="str">
            <v xml:space="preserve">  K.283.            </v>
          </cell>
          <cell r="E1948" t="str">
            <v xml:space="preserve">      </v>
          </cell>
          <cell r="F1948" t="str">
            <v>2.2.</v>
          </cell>
          <cell r="G1948" t="str">
            <v xml:space="preserve">Assentamento de Tubos, Peças, Conexões e Aparelhos Hidráulicos  </v>
          </cell>
          <cell r="H1948" t="str">
            <v xml:space="preserve">      </v>
          </cell>
          <cell r="I1948">
            <v>0</v>
          </cell>
          <cell r="J1948">
            <v>0</v>
          </cell>
          <cell r="K1948">
            <v>0</v>
          </cell>
          <cell r="L1948">
            <v>0</v>
          </cell>
        </row>
        <row r="1949">
          <cell r="D1949" t="str">
            <v xml:space="preserve">  K.284.            </v>
          </cell>
          <cell r="E1949" t="str">
            <v xml:space="preserve">      </v>
          </cell>
          <cell r="F1949" t="str">
            <v>2.2.1.</v>
          </cell>
          <cell r="G1949" t="str">
            <v xml:space="preserve">PVC - ESGOTO  </v>
          </cell>
          <cell r="H1949" t="str">
            <v xml:space="preserve">      </v>
          </cell>
          <cell r="I1949">
            <v>0</v>
          </cell>
          <cell r="J1949">
            <v>0</v>
          </cell>
          <cell r="K1949">
            <v>0</v>
          </cell>
          <cell r="L1949">
            <v>0</v>
          </cell>
        </row>
        <row r="1950">
          <cell r="D1950" t="str">
            <v xml:space="preserve">  K.285.            </v>
          </cell>
          <cell r="E1950" t="str">
            <v xml:space="preserve">      </v>
          </cell>
          <cell r="F1950" t="str">
            <v>2.2.1.1.</v>
          </cell>
          <cell r="G1950" t="str">
            <v xml:space="preserve">Tubo e conexões de PVC tipo esgoto:  </v>
          </cell>
          <cell r="H1950" t="str">
            <v xml:space="preserve">      </v>
          </cell>
          <cell r="I1950">
            <v>0</v>
          </cell>
          <cell r="J1950">
            <v>0</v>
          </cell>
          <cell r="K1950">
            <v>0</v>
          </cell>
          <cell r="L1950">
            <v>0</v>
          </cell>
        </row>
        <row r="1951">
          <cell r="D1951" t="str">
            <v xml:space="preserve">  K.286.            </v>
          </cell>
          <cell r="E1951" t="str">
            <v>CP4604</v>
          </cell>
          <cell r="F1951" t="str">
            <v>2.2.1.1.3</v>
          </cell>
          <cell r="G1951" t="str">
            <v xml:space="preserve">Tubo e conexões de PVC tipo esgoto: DN 100  </v>
          </cell>
          <cell r="H1951" t="str">
            <v xml:space="preserve">m     </v>
          </cell>
          <cell r="I1951">
            <v>300</v>
          </cell>
          <cell r="J1951">
            <v>11.21</v>
          </cell>
          <cell r="K1951">
            <v>9.5299999999999994</v>
          </cell>
          <cell r="L1951">
            <v>3363</v>
          </cell>
        </row>
        <row r="1952">
          <cell r="D1952" t="str">
            <v xml:space="preserve">  K.287.            </v>
          </cell>
          <cell r="E1952" t="str">
            <v>CP0154</v>
          </cell>
          <cell r="F1952" t="str">
            <v>2.2.1.1.4</v>
          </cell>
          <cell r="G1952" t="str">
            <v xml:space="preserve">Tubo e conexões de PVC tipo esgoto: DN 75  </v>
          </cell>
          <cell r="H1952" t="str">
            <v xml:space="preserve">m     </v>
          </cell>
          <cell r="I1952">
            <v>36</v>
          </cell>
          <cell r="J1952">
            <v>1.23</v>
          </cell>
          <cell r="K1952">
            <v>9.5299999999999994</v>
          </cell>
          <cell r="L1952">
            <v>44.28</v>
          </cell>
        </row>
        <row r="1953">
          <cell r="D1953" t="str">
            <v xml:space="preserve">  K.288.            </v>
          </cell>
          <cell r="E1953" t="str">
            <v>CP0570</v>
          </cell>
          <cell r="F1953" t="str">
            <v>2.2.1.1.5</v>
          </cell>
          <cell r="G1953" t="str">
            <v xml:space="preserve">Tubo e conexões de PVC tipo esgoto: DN 50  </v>
          </cell>
          <cell r="H1953" t="str">
            <v xml:space="preserve">m     </v>
          </cell>
          <cell r="I1953">
            <v>180</v>
          </cell>
          <cell r="J1953">
            <v>5.82</v>
          </cell>
          <cell r="K1953">
            <v>6.36</v>
          </cell>
          <cell r="L1953">
            <v>1047.5999999999999</v>
          </cell>
        </row>
        <row r="1954">
          <cell r="D1954" t="str">
            <v xml:space="preserve">  K.289.            </v>
          </cell>
          <cell r="E1954" t="str">
            <v>CP0575</v>
          </cell>
          <cell r="F1954" t="str">
            <v>2.2.1.1.6</v>
          </cell>
          <cell r="G1954" t="str">
            <v xml:space="preserve">Tubo e conexões de PVC tipo esgoto: DN 40  </v>
          </cell>
          <cell r="H1954" t="str">
            <v xml:space="preserve">m     </v>
          </cell>
          <cell r="I1954">
            <v>132</v>
          </cell>
          <cell r="J1954">
            <v>5.82</v>
          </cell>
          <cell r="K1954">
            <v>6.36</v>
          </cell>
          <cell r="L1954">
            <v>768.24</v>
          </cell>
        </row>
        <row r="1955">
          <cell r="D1955" t="str">
            <v xml:space="preserve">  K.290.            </v>
          </cell>
          <cell r="E1955" t="str">
            <v xml:space="preserve">      </v>
          </cell>
          <cell r="F1955" t="str">
            <v>2.2.2.</v>
          </cell>
          <cell r="G1955" t="str">
            <v xml:space="preserve">Caixa sifonada, com grelha cromada, completa:  </v>
          </cell>
          <cell r="H1955" t="str">
            <v xml:space="preserve">      </v>
          </cell>
          <cell r="I1955">
            <v>0</v>
          </cell>
          <cell r="J1955">
            <v>0</v>
          </cell>
          <cell r="K1955">
            <v>0</v>
          </cell>
          <cell r="L1955">
            <v>0</v>
          </cell>
        </row>
        <row r="1956">
          <cell r="D1956" t="str">
            <v xml:space="preserve">  K.291.            </v>
          </cell>
          <cell r="E1956" t="str">
            <v>CP0457</v>
          </cell>
          <cell r="F1956" t="str">
            <v>2.2.2.1.</v>
          </cell>
          <cell r="G1956" t="str">
            <v xml:space="preserve">Caixa sifonada, com grelha cromada, completa: 150 x 150 x 50  </v>
          </cell>
          <cell r="H1956" t="str">
            <v xml:space="preserve">pç    </v>
          </cell>
          <cell r="I1956">
            <v>11</v>
          </cell>
          <cell r="J1956">
            <v>9.33</v>
          </cell>
          <cell r="K1956">
            <v>20.67</v>
          </cell>
          <cell r="L1956">
            <v>102.63</v>
          </cell>
        </row>
        <row r="1957">
          <cell r="D1957" t="str">
            <v xml:space="preserve">  K.292.            </v>
          </cell>
          <cell r="E1957" t="str">
            <v>CP0457</v>
          </cell>
          <cell r="F1957" t="str">
            <v>2.2.2.2.</v>
          </cell>
          <cell r="G1957" t="str">
            <v xml:space="preserve">Caixa sifonada, com grelha cromada, completa: 100 x 100 x 50  </v>
          </cell>
          <cell r="H1957" t="str">
            <v xml:space="preserve">pç    </v>
          </cell>
          <cell r="I1957">
            <v>10</v>
          </cell>
          <cell r="J1957">
            <v>9.33</v>
          </cell>
          <cell r="K1957">
            <v>20.67</v>
          </cell>
          <cell r="L1957">
            <v>93.3</v>
          </cell>
        </row>
        <row r="1958">
          <cell r="D1958" t="str">
            <v xml:space="preserve">  K.293.            </v>
          </cell>
          <cell r="E1958" t="str">
            <v xml:space="preserve">      </v>
          </cell>
          <cell r="F1958" t="str">
            <v>2.2.3.</v>
          </cell>
          <cell r="G1958" t="str">
            <v xml:space="preserve">Caixa sifonada, com tampa cega, completa:  </v>
          </cell>
          <cell r="H1958" t="str">
            <v xml:space="preserve">      </v>
          </cell>
          <cell r="I1958">
            <v>0</v>
          </cell>
          <cell r="J1958">
            <v>0</v>
          </cell>
          <cell r="K1958">
            <v>0</v>
          </cell>
          <cell r="L1958">
            <v>0</v>
          </cell>
        </row>
        <row r="1959">
          <cell r="D1959" t="str">
            <v xml:space="preserve">  K.294.            </v>
          </cell>
          <cell r="E1959" t="str">
            <v>CP0457</v>
          </cell>
          <cell r="F1959" t="str">
            <v>2.2.3.1.</v>
          </cell>
          <cell r="G1959" t="str">
            <v xml:space="preserve">Caixa sifonada, com tampa cega, completa: 250 x 172 x 50  </v>
          </cell>
          <cell r="H1959" t="str">
            <v xml:space="preserve">pç    </v>
          </cell>
          <cell r="I1959">
            <v>2</v>
          </cell>
          <cell r="J1959">
            <v>9.33</v>
          </cell>
          <cell r="K1959">
            <v>23.84</v>
          </cell>
          <cell r="L1959">
            <v>18.66</v>
          </cell>
        </row>
        <row r="1960">
          <cell r="D1960" t="str">
            <v xml:space="preserve">  K.295.            </v>
          </cell>
          <cell r="E1960" t="str">
            <v>CP0457</v>
          </cell>
          <cell r="F1960" t="str">
            <v>2.2.3.2.</v>
          </cell>
          <cell r="G1960" t="str">
            <v xml:space="preserve">Caixa sifonada, com tampa cega, completa: 100 x 100 x 50  </v>
          </cell>
          <cell r="H1960" t="str">
            <v xml:space="preserve">pç    </v>
          </cell>
          <cell r="I1960">
            <v>4</v>
          </cell>
          <cell r="J1960">
            <v>9.33</v>
          </cell>
          <cell r="K1960">
            <v>20.67</v>
          </cell>
          <cell r="L1960">
            <v>37.32</v>
          </cell>
        </row>
        <row r="1961">
          <cell r="D1961" t="str">
            <v xml:space="preserve">  K.296.            </v>
          </cell>
          <cell r="E1961" t="str">
            <v xml:space="preserve">      </v>
          </cell>
          <cell r="F1961" t="str">
            <v>2.2.4.</v>
          </cell>
          <cell r="G1961" t="str">
            <v xml:space="preserve">Tubos e Conexões de PVC soldável:  </v>
          </cell>
          <cell r="H1961" t="str">
            <v xml:space="preserve">      </v>
          </cell>
          <cell r="I1961">
            <v>0</v>
          </cell>
          <cell r="J1961">
            <v>0</v>
          </cell>
          <cell r="K1961">
            <v>0</v>
          </cell>
          <cell r="L1961">
            <v>0</v>
          </cell>
        </row>
        <row r="1962">
          <cell r="D1962" t="str">
            <v xml:space="preserve">  K.297.            </v>
          </cell>
          <cell r="E1962" t="str">
            <v>CP0575</v>
          </cell>
          <cell r="F1962" t="str">
            <v>2.2.4.1.</v>
          </cell>
          <cell r="G1962" t="str">
            <v xml:space="preserve">Tubos e Conexões de PVC soldável: DN 20  </v>
          </cell>
          <cell r="H1962" t="str">
            <v xml:space="preserve">m     </v>
          </cell>
          <cell r="I1962">
            <v>42</v>
          </cell>
          <cell r="J1962">
            <v>5.82</v>
          </cell>
          <cell r="K1962">
            <v>6.85</v>
          </cell>
          <cell r="L1962">
            <v>244.44</v>
          </cell>
        </row>
        <row r="1963">
          <cell r="D1963" t="str">
            <v xml:space="preserve">  K.298.            </v>
          </cell>
          <cell r="E1963" t="str">
            <v>CP0575</v>
          </cell>
          <cell r="F1963" t="str">
            <v>2.2.4.2.</v>
          </cell>
          <cell r="G1963" t="str">
            <v xml:space="preserve">Tubos e Conexões de PVC soldável: DN 25  </v>
          </cell>
          <cell r="H1963" t="str">
            <v xml:space="preserve">m     </v>
          </cell>
          <cell r="I1963">
            <v>132</v>
          </cell>
          <cell r="J1963">
            <v>5.82</v>
          </cell>
          <cell r="K1963">
            <v>6.85</v>
          </cell>
          <cell r="L1963">
            <v>768.24</v>
          </cell>
        </row>
        <row r="1964">
          <cell r="D1964" t="str">
            <v xml:space="preserve">  K.299.            </v>
          </cell>
          <cell r="E1964" t="str">
            <v>CP0575</v>
          </cell>
          <cell r="F1964" t="str">
            <v>2.2.4.3.</v>
          </cell>
          <cell r="G1964" t="str">
            <v xml:space="preserve">Tubos e Conexões de PVC soldável: DN 32  </v>
          </cell>
          <cell r="H1964" t="str">
            <v xml:space="preserve">m     </v>
          </cell>
          <cell r="I1964">
            <v>60</v>
          </cell>
          <cell r="J1964">
            <v>5.82</v>
          </cell>
          <cell r="K1964">
            <v>7.95</v>
          </cell>
          <cell r="L1964">
            <v>349.2</v>
          </cell>
        </row>
        <row r="1965">
          <cell r="D1965" t="str">
            <v xml:space="preserve">  K.300.            </v>
          </cell>
          <cell r="E1965" t="str">
            <v>CP0570</v>
          </cell>
          <cell r="F1965" t="str">
            <v>2.2.4.4.</v>
          </cell>
          <cell r="G1965" t="str">
            <v xml:space="preserve">Tubos e Conexões de PVC soldável: DN 40  </v>
          </cell>
          <cell r="H1965" t="str">
            <v xml:space="preserve">m     </v>
          </cell>
          <cell r="I1965">
            <v>48</v>
          </cell>
          <cell r="J1965">
            <v>5.82</v>
          </cell>
          <cell r="K1965">
            <v>8.44</v>
          </cell>
          <cell r="L1965">
            <v>279.36</v>
          </cell>
        </row>
        <row r="1966">
          <cell r="D1966" t="str">
            <v xml:space="preserve">  K.301.            </v>
          </cell>
          <cell r="E1966" t="str">
            <v>CP0154</v>
          </cell>
          <cell r="F1966" t="str">
            <v>2.2.4.5.</v>
          </cell>
          <cell r="G1966" t="str">
            <v xml:space="preserve">Tubos e Conexões de PVC soldável: DN 50  </v>
          </cell>
          <cell r="H1966" t="str">
            <v xml:space="preserve">m     </v>
          </cell>
          <cell r="I1966">
            <v>42</v>
          </cell>
          <cell r="J1966">
            <v>1.23</v>
          </cell>
          <cell r="K1966">
            <v>10.02</v>
          </cell>
          <cell r="L1966">
            <v>51.66</v>
          </cell>
        </row>
        <row r="1967">
          <cell r="D1967" t="str">
            <v xml:space="preserve">  K.302.            </v>
          </cell>
          <cell r="E1967" t="str">
            <v>CP0154</v>
          </cell>
          <cell r="F1967" t="str">
            <v>2.2.4.6.</v>
          </cell>
          <cell r="G1967" t="str">
            <v xml:space="preserve">Tubos e Conexões de PVC soldável: DN 60  </v>
          </cell>
          <cell r="H1967" t="str">
            <v xml:space="preserve">m     </v>
          </cell>
          <cell r="I1967">
            <v>60</v>
          </cell>
          <cell r="J1967">
            <v>1.23</v>
          </cell>
          <cell r="K1967">
            <v>11.61</v>
          </cell>
          <cell r="L1967">
            <v>73.8</v>
          </cell>
        </row>
        <row r="1968">
          <cell r="D1968" t="str">
            <v xml:space="preserve">  K.303.            </v>
          </cell>
          <cell r="E1968" t="str">
            <v>CP0154</v>
          </cell>
          <cell r="F1968" t="str">
            <v>2.2.4.7.</v>
          </cell>
          <cell r="G1968" t="str">
            <v xml:space="preserve">Tubos e Conexões de PVC soldável: DN 75  </v>
          </cell>
          <cell r="H1968" t="str">
            <v xml:space="preserve">m     </v>
          </cell>
          <cell r="I1968">
            <v>12</v>
          </cell>
          <cell r="J1968">
            <v>1.23</v>
          </cell>
          <cell r="K1968">
            <v>14.8</v>
          </cell>
          <cell r="L1968">
            <v>14.76</v>
          </cell>
        </row>
        <row r="1969">
          <cell r="D1969" t="str">
            <v xml:space="preserve">  K.304.            </v>
          </cell>
          <cell r="E1969" t="str">
            <v xml:space="preserve">      </v>
          </cell>
          <cell r="F1969" t="str">
            <v>2.2.6.</v>
          </cell>
          <cell r="G1969" t="str">
            <v xml:space="preserve">Tubos e conexões em ferro maleável  </v>
          </cell>
          <cell r="H1969" t="str">
            <v xml:space="preserve">      </v>
          </cell>
          <cell r="I1969">
            <v>0</v>
          </cell>
          <cell r="J1969">
            <v>0</v>
          </cell>
          <cell r="K1969">
            <v>0</v>
          </cell>
          <cell r="L1969">
            <v>0</v>
          </cell>
        </row>
        <row r="1970">
          <cell r="D1970" t="str">
            <v xml:space="preserve">  K.305.            </v>
          </cell>
          <cell r="E1970" t="str">
            <v>CP0492</v>
          </cell>
          <cell r="F1970" t="str">
            <v>2.2.6.1.</v>
          </cell>
          <cell r="G1970" t="str">
            <v xml:space="preserve">Tubos e conexões em ferro maleável DN 2  </v>
          </cell>
          <cell r="H1970" t="str">
            <v xml:space="preserve">m     </v>
          </cell>
          <cell r="I1970">
            <v>18</v>
          </cell>
          <cell r="J1970">
            <v>17.75</v>
          </cell>
          <cell r="K1970">
            <v>19.89</v>
          </cell>
          <cell r="L1970">
            <v>319.5</v>
          </cell>
        </row>
        <row r="1971">
          <cell r="D1971" t="str">
            <v xml:space="preserve">  K.306.            </v>
          </cell>
          <cell r="E1971" t="str">
            <v xml:space="preserve">      </v>
          </cell>
          <cell r="F1971" t="str">
            <v>2.2.7.</v>
          </cell>
          <cell r="G1971" t="str">
            <v xml:space="preserve">Aparelhos Hidráulicos  </v>
          </cell>
          <cell r="H1971" t="str">
            <v xml:space="preserve">      </v>
          </cell>
          <cell r="I1971">
            <v>0</v>
          </cell>
          <cell r="J1971">
            <v>0</v>
          </cell>
          <cell r="K1971">
            <v>0</v>
          </cell>
          <cell r="L1971">
            <v>0</v>
          </cell>
        </row>
        <row r="1972">
          <cell r="D1972" t="str">
            <v xml:space="preserve">  K.307.            </v>
          </cell>
          <cell r="E1972" t="str">
            <v>CP0467</v>
          </cell>
          <cell r="F1972" t="str">
            <v>2.2.7.1.</v>
          </cell>
          <cell r="G1972" t="str">
            <v xml:space="preserve">Vaso sanitário em louça  </v>
          </cell>
          <cell r="H1972" t="str">
            <v xml:space="preserve">pç    </v>
          </cell>
          <cell r="I1972">
            <v>18</v>
          </cell>
          <cell r="J1972">
            <v>63.16</v>
          </cell>
          <cell r="K1972">
            <v>53.31</v>
          </cell>
          <cell r="L1972">
            <v>1136.8800000000001</v>
          </cell>
        </row>
        <row r="1973">
          <cell r="D1973" t="str">
            <v xml:space="preserve">  K.308.            </v>
          </cell>
          <cell r="E1973" t="str">
            <v>CP0453</v>
          </cell>
          <cell r="F1973" t="str">
            <v>2.2.7.3.</v>
          </cell>
          <cell r="G1973" t="str">
            <v xml:space="preserve">Lavatório sem coluna  </v>
          </cell>
          <cell r="H1973" t="str">
            <v xml:space="preserve">pç    </v>
          </cell>
          <cell r="I1973">
            <v>26</v>
          </cell>
          <cell r="J1973">
            <v>20.079999999999998</v>
          </cell>
          <cell r="K1973">
            <v>70.05</v>
          </cell>
          <cell r="L1973">
            <v>522.08000000000004</v>
          </cell>
        </row>
        <row r="1974">
          <cell r="D1974" t="str">
            <v xml:space="preserve">  K.309.            </v>
          </cell>
          <cell r="E1974" t="str">
            <v>CP0453</v>
          </cell>
          <cell r="F1974" t="str">
            <v>2.2.7.5.</v>
          </cell>
          <cell r="G1974" t="str">
            <v xml:space="preserve">Lava-olhos  </v>
          </cell>
          <cell r="H1974" t="str">
            <v xml:space="preserve">un    </v>
          </cell>
          <cell r="I1974">
            <v>1</v>
          </cell>
          <cell r="J1974">
            <v>20.079999999999998</v>
          </cell>
          <cell r="K1974">
            <v>78.53</v>
          </cell>
          <cell r="L1974">
            <v>20.079999999999998</v>
          </cell>
        </row>
        <row r="1975">
          <cell r="D1975" t="str">
            <v xml:space="preserve">  K.310.            </v>
          </cell>
          <cell r="E1975" t="str">
            <v>CP0435</v>
          </cell>
          <cell r="F1975" t="str">
            <v>2.2.7.7.</v>
          </cell>
          <cell r="G1975" t="str">
            <v xml:space="preserve">Chuveiro elétrico  </v>
          </cell>
          <cell r="H1975" t="str">
            <v xml:space="preserve">un    </v>
          </cell>
          <cell r="I1975">
            <v>12</v>
          </cell>
          <cell r="J1975">
            <v>9.81</v>
          </cell>
          <cell r="K1975">
            <v>8.2100000000000009</v>
          </cell>
          <cell r="L1975">
            <v>117.72</v>
          </cell>
        </row>
        <row r="1976">
          <cell r="D1976" t="str">
            <v xml:space="preserve">  K.311.            </v>
          </cell>
          <cell r="E1976" t="str">
            <v>CP0453</v>
          </cell>
          <cell r="F1976" t="str">
            <v>2.2.7.8.</v>
          </cell>
          <cell r="G1976" t="str">
            <v xml:space="preserve">Bebedouro elétrico  </v>
          </cell>
          <cell r="H1976" t="str">
            <v xml:space="preserve">un    </v>
          </cell>
          <cell r="I1976">
            <v>4</v>
          </cell>
          <cell r="J1976">
            <v>20.079999999999998</v>
          </cell>
          <cell r="K1976">
            <v>16.760000000000002</v>
          </cell>
          <cell r="L1976">
            <v>80.319999999999993</v>
          </cell>
        </row>
        <row r="1977">
          <cell r="D1977" t="str">
            <v xml:space="preserve">  K.312.            </v>
          </cell>
          <cell r="E1977" t="str">
            <v xml:space="preserve">      </v>
          </cell>
          <cell r="F1977" t="str">
            <v>2.2.8.</v>
          </cell>
          <cell r="G1977" t="str">
            <v xml:space="preserve">Conjunto de metais  </v>
          </cell>
          <cell r="H1977" t="str">
            <v xml:space="preserve">      </v>
          </cell>
          <cell r="I1977">
            <v>0</v>
          </cell>
          <cell r="J1977">
            <v>0</v>
          </cell>
          <cell r="K1977">
            <v>0</v>
          </cell>
          <cell r="L1977">
            <v>0</v>
          </cell>
        </row>
        <row r="1978">
          <cell r="D1978" t="str">
            <v xml:space="preserve">  K.313.            </v>
          </cell>
          <cell r="E1978" t="str">
            <v>CP0528</v>
          </cell>
          <cell r="F1978" t="str">
            <v>2.2.8.1.</v>
          </cell>
          <cell r="G1978" t="str">
            <v xml:space="preserve">Conjunto de metais Para lavatório  </v>
          </cell>
          <cell r="H1978" t="str">
            <v xml:space="preserve">un    </v>
          </cell>
          <cell r="I1978">
            <v>26</v>
          </cell>
          <cell r="J1978">
            <v>28.37</v>
          </cell>
          <cell r="K1978">
            <v>23.99</v>
          </cell>
          <cell r="L1978">
            <v>737.62</v>
          </cell>
        </row>
        <row r="1979">
          <cell r="D1979" t="str">
            <v xml:space="preserve">  K.314.            </v>
          </cell>
          <cell r="E1979" t="str">
            <v xml:space="preserve">      </v>
          </cell>
          <cell r="F1979" t="str">
            <v>2.2.9.</v>
          </cell>
          <cell r="G1979" t="str">
            <v xml:space="preserve">Registro de gaveta:  </v>
          </cell>
          <cell r="H1979" t="str">
            <v xml:space="preserve">      </v>
          </cell>
          <cell r="I1979">
            <v>0</v>
          </cell>
          <cell r="J1979">
            <v>0</v>
          </cell>
          <cell r="K1979">
            <v>0</v>
          </cell>
          <cell r="L1979">
            <v>0</v>
          </cell>
        </row>
        <row r="1980">
          <cell r="D1980" t="str">
            <v xml:space="preserve">  K.315.            </v>
          </cell>
          <cell r="E1980" t="str">
            <v>CP0435</v>
          </cell>
          <cell r="F1980" t="str">
            <v>2.2.9.1.</v>
          </cell>
          <cell r="G1980" t="str">
            <v xml:space="preserve">Registro de gaveta: DN 2 1/2  </v>
          </cell>
          <cell r="H1980" t="str">
            <v xml:space="preserve">un    </v>
          </cell>
          <cell r="I1980">
            <v>2</v>
          </cell>
          <cell r="J1980">
            <v>9.81</v>
          </cell>
          <cell r="K1980">
            <v>24.62</v>
          </cell>
          <cell r="L1980">
            <v>19.62</v>
          </cell>
        </row>
        <row r="1981">
          <cell r="D1981" t="str">
            <v xml:space="preserve">  K.316.            </v>
          </cell>
          <cell r="E1981" t="str">
            <v>CP0435</v>
          </cell>
          <cell r="F1981" t="str">
            <v>2.2.9.2.</v>
          </cell>
          <cell r="G1981" t="str">
            <v xml:space="preserve">Registro de gaveta: DN 2  </v>
          </cell>
          <cell r="H1981" t="str">
            <v xml:space="preserve">un    </v>
          </cell>
          <cell r="I1981">
            <v>1</v>
          </cell>
          <cell r="J1981">
            <v>9.81</v>
          </cell>
          <cell r="K1981">
            <v>16.41</v>
          </cell>
          <cell r="L1981">
            <v>9.81</v>
          </cell>
        </row>
        <row r="1982">
          <cell r="D1982" t="str">
            <v xml:space="preserve">  K.317.            </v>
          </cell>
          <cell r="E1982" t="str">
            <v>CP0458</v>
          </cell>
          <cell r="F1982" t="str">
            <v>2.2.9.3.</v>
          </cell>
          <cell r="G1982" t="str">
            <v xml:space="preserve">Registro de gaveta: DN 1 1/2  </v>
          </cell>
          <cell r="H1982" t="str">
            <v xml:space="preserve">un    </v>
          </cell>
          <cell r="I1982">
            <v>2</v>
          </cell>
          <cell r="J1982">
            <v>19.32</v>
          </cell>
          <cell r="K1982">
            <v>16.32</v>
          </cell>
          <cell r="L1982">
            <v>38.64</v>
          </cell>
        </row>
        <row r="1983">
          <cell r="D1983" t="str">
            <v xml:space="preserve">  K.318.            </v>
          </cell>
          <cell r="E1983" t="str">
            <v>CP0458</v>
          </cell>
          <cell r="F1983" t="str">
            <v>2.2.9.4.</v>
          </cell>
          <cell r="G1983" t="str">
            <v xml:space="preserve">Registro de gaveta: DN 1 1/4  </v>
          </cell>
          <cell r="H1983" t="str">
            <v xml:space="preserve">un    </v>
          </cell>
          <cell r="I1983">
            <v>18</v>
          </cell>
          <cell r="J1983">
            <v>19.32</v>
          </cell>
          <cell r="K1983">
            <v>17.399999999999999</v>
          </cell>
          <cell r="L1983">
            <v>347.76</v>
          </cell>
        </row>
        <row r="1984">
          <cell r="D1984" t="str">
            <v xml:space="preserve">  K.319.            </v>
          </cell>
          <cell r="E1984" t="str">
            <v>CP0518</v>
          </cell>
          <cell r="F1984" t="str">
            <v>2.2.9.5.</v>
          </cell>
          <cell r="G1984" t="str">
            <v xml:space="preserve">Registro de gaveta: DN 1  </v>
          </cell>
          <cell r="H1984" t="str">
            <v xml:space="preserve">un    </v>
          </cell>
          <cell r="I1984">
            <v>4</v>
          </cell>
          <cell r="J1984">
            <v>18.5</v>
          </cell>
          <cell r="K1984">
            <v>15.45</v>
          </cell>
          <cell r="L1984">
            <v>74</v>
          </cell>
        </row>
        <row r="1985">
          <cell r="D1985" t="str">
            <v xml:space="preserve">  K.320.            </v>
          </cell>
          <cell r="E1985" t="str">
            <v>CP0457</v>
          </cell>
          <cell r="F1985" t="str">
            <v>2.2.9.6.</v>
          </cell>
          <cell r="G1985" t="str">
            <v xml:space="preserve">Registro de gaveta: DN 3/4  </v>
          </cell>
          <cell r="H1985" t="str">
            <v xml:space="preserve">un    </v>
          </cell>
          <cell r="I1985">
            <v>11</v>
          </cell>
          <cell r="J1985">
            <v>9.33</v>
          </cell>
          <cell r="K1985">
            <v>12.26</v>
          </cell>
          <cell r="L1985">
            <v>102.63</v>
          </cell>
        </row>
        <row r="1986">
          <cell r="D1986" t="str">
            <v xml:space="preserve">  K.321.            </v>
          </cell>
          <cell r="E1986" t="str">
            <v>CP0457</v>
          </cell>
          <cell r="F1986" t="str">
            <v>2.2.9.7.</v>
          </cell>
          <cell r="G1986" t="str">
            <v xml:space="preserve">Registro de gaveta: DN 1/2  </v>
          </cell>
          <cell r="H1986" t="str">
            <v xml:space="preserve">un    </v>
          </cell>
          <cell r="I1986">
            <v>2</v>
          </cell>
          <cell r="J1986">
            <v>9.33</v>
          </cell>
          <cell r="K1986">
            <v>12.26</v>
          </cell>
          <cell r="L1986">
            <v>18.66</v>
          </cell>
        </row>
        <row r="1987">
          <cell r="D1987" t="str">
            <v xml:space="preserve">  K.322.            </v>
          </cell>
          <cell r="E1987" t="str">
            <v xml:space="preserve">      </v>
          </cell>
          <cell r="F1987" t="str">
            <v>2.2.10.</v>
          </cell>
          <cell r="G1987" t="str">
            <v xml:space="preserve">Registro de pressão:  </v>
          </cell>
          <cell r="H1987" t="str">
            <v xml:space="preserve">      </v>
          </cell>
          <cell r="I1987">
            <v>0</v>
          </cell>
          <cell r="J1987">
            <v>0</v>
          </cell>
          <cell r="K1987">
            <v>0</v>
          </cell>
          <cell r="L1987">
            <v>0</v>
          </cell>
        </row>
        <row r="1988">
          <cell r="D1988" t="str">
            <v xml:space="preserve">  K.323.            </v>
          </cell>
          <cell r="E1988" t="str">
            <v>CP0457</v>
          </cell>
          <cell r="F1988" t="str">
            <v>2.2.10.1.</v>
          </cell>
          <cell r="G1988" t="str">
            <v xml:space="preserve">Registro de pressão: DN 3/4  </v>
          </cell>
          <cell r="H1988" t="str">
            <v xml:space="preserve">un    </v>
          </cell>
          <cell r="I1988">
            <v>9</v>
          </cell>
          <cell r="J1988">
            <v>9.33</v>
          </cell>
          <cell r="K1988">
            <v>7.8</v>
          </cell>
          <cell r="L1988">
            <v>83.97</v>
          </cell>
        </row>
        <row r="1989">
          <cell r="D1989" t="str">
            <v xml:space="preserve">  K.324.            </v>
          </cell>
          <cell r="E1989" t="str">
            <v>CP0457</v>
          </cell>
          <cell r="F1989" t="str">
            <v>2.2.10.2.</v>
          </cell>
          <cell r="G1989" t="str">
            <v xml:space="preserve">Registro de pressão: DN 1/2  </v>
          </cell>
          <cell r="H1989" t="str">
            <v xml:space="preserve">un    </v>
          </cell>
          <cell r="I1989">
            <v>4</v>
          </cell>
          <cell r="J1989">
            <v>9.33</v>
          </cell>
          <cell r="K1989">
            <v>17.25</v>
          </cell>
          <cell r="L1989">
            <v>37.32</v>
          </cell>
        </row>
        <row r="1990">
          <cell r="D1990" t="str">
            <v xml:space="preserve">  K.325.            </v>
          </cell>
          <cell r="E1990" t="str">
            <v xml:space="preserve">      </v>
          </cell>
          <cell r="F1990" t="str">
            <v>3.</v>
          </cell>
          <cell r="G1990" t="str">
            <v xml:space="preserve">Instalações de Gás  </v>
          </cell>
          <cell r="H1990" t="str">
            <v xml:space="preserve">      </v>
          </cell>
          <cell r="I1990">
            <v>0</v>
          </cell>
          <cell r="J1990">
            <v>0</v>
          </cell>
          <cell r="K1990">
            <v>0</v>
          </cell>
          <cell r="L1990">
            <v>0</v>
          </cell>
        </row>
        <row r="1991">
          <cell r="D1991" t="str">
            <v xml:space="preserve">  K.326.            </v>
          </cell>
          <cell r="E1991" t="str">
            <v xml:space="preserve">      </v>
          </cell>
          <cell r="F1991" t="str">
            <v>3.1.</v>
          </cell>
          <cell r="G1991" t="str">
            <v xml:space="preserve">Fornecimento de tubulações e conexões para gás (G.L.P.) - Ferro Galvanizado classe pesada  </v>
          </cell>
          <cell r="H1991" t="str">
            <v xml:space="preserve">      </v>
          </cell>
          <cell r="I1991">
            <v>0</v>
          </cell>
          <cell r="J1991">
            <v>0</v>
          </cell>
          <cell r="K1991">
            <v>0</v>
          </cell>
          <cell r="L1991">
            <v>0</v>
          </cell>
        </row>
        <row r="1992">
          <cell r="D1992" t="str">
            <v xml:space="preserve">  K.327.            </v>
          </cell>
          <cell r="E1992" t="str">
            <v xml:space="preserve">      </v>
          </cell>
          <cell r="F1992" t="str">
            <v>3.1.1.</v>
          </cell>
          <cell r="G1992" t="str">
            <v xml:space="preserve">Tubo F.G. classe pesada  </v>
          </cell>
          <cell r="H1992" t="str">
            <v xml:space="preserve">      </v>
          </cell>
          <cell r="I1992">
            <v>0</v>
          </cell>
          <cell r="J1992">
            <v>0</v>
          </cell>
          <cell r="K1992">
            <v>0</v>
          </cell>
          <cell r="L1992">
            <v>0</v>
          </cell>
        </row>
        <row r="1993">
          <cell r="D1993" t="str">
            <v xml:space="preserve">  K.328.            </v>
          </cell>
          <cell r="E1993" t="str">
            <v>CP1904</v>
          </cell>
          <cell r="F1993" t="str">
            <v>3.1.1.1.</v>
          </cell>
          <cell r="G1993" t="str">
            <v xml:space="preserve">Tubo F.G. classe pesada ø 3/4  </v>
          </cell>
          <cell r="H1993" t="str">
            <v xml:space="preserve">m     </v>
          </cell>
          <cell r="I1993">
            <v>36</v>
          </cell>
          <cell r="J1993">
            <v>29.81</v>
          </cell>
          <cell r="K1993">
            <v>42.58</v>
          </cell>
          <cell r="L1993">
            <v>1073.1600000000001</v>
          </cell>
        </row>
        <row r="1994">
          <cell r="D1994" t="str">
            <v xml:space="preserve">  K.329.            </v>
          </cell>
          <cell r="E1994" t="str">
            <v>CP1965</v>
          </cell>
          <cell r="F1994" t="str">
            <v>3.1.1.2.</v>
          </cell>
          <cell r="G1994" t="str">
            <v xml:space="preserve">Tubo F.G. classe pesada ø 1/2  </v>
          </cell>
          <cell r="H1994" t="str">
            <v xml:space="preserve">m     </v>
          </cell>
          <cell r="I1994">
            <v>36</v>
          </cell>
          <cell r="J1994">
            <v>22.47</v>
          </cell>
          <cell r="K1994">
            <v>32.1</v>
          </cell>
          <cell r="L1994">
            <v>808.92</v>
          </cell>
        </row>
        <row r="1995">
          <cell r="D1995" t="str">
            <v xml:space="preserve">  K.330.            </v>
          </cell>
          <cell r="E1995" t="str">
            <v xml:space="preserve">      </v>
          </cell>
          <cell r="F1995" t="str">
            <v>3.1.2.</v>
          </cell>
          <cell r="G1995" t="str">
            <v xml:space="preserve">Conexões F.G. classe pesada Cotovelo 90o  </v>
          </cell>
          <cell r="H1995" t="str">
            <v xml:space="preserve">      </v>
          </cell>
          <cell r="I1995">
            <v>0</v>
          </cell>
          <cell r="J1995">
            <v>0</v>
          </cell>
          <cell r="K1995">
            <v>0</v>
          </cell>
          <cell r="L1995">
            <v>0</v>
          </cell>
        </row>
        <row r="1996">
          <cell r="D1996" t="str">
            <v xml:space="preserve">  K.331.            </v>
          </cell>
          <cell r="E1996" t="str">
            <v>CP2148</v>
          </cell>
          <cell r="F1996" t="str">
            <v>3.1.2.1.</v>
          </cell>
          <cell r="G1996" t="str">
            <v xml:space="preserve">Conexões F.G. classe pesada Cotovelo 90o ø 3/4  </v>
          </cell>
          <cell r="H1996" t="str">
            <v xml:space="preserve">pç    </v>
          </cell>
          <cell r="I1996">
            <v>12</v>
          </cell>
          <cell r="J1996">
            <v>6.88</v>
          </cell>
          <cell r="K1996">
            <v>9.83</v>
          </cell>
          <cell r="L1996">
            <v>82.56</v>
          </cell>
        </row>
        <row r="1997">
          <cell r="D1997" t="str">
            <v xml:space="preserve">  K.332.            </v>
          </cell>
          <cell r="E1997" t="str">
            <v>CP0632</v>
          </cell>
          <cell r="F1997" t="str">
            <v>3.1.2.2.</v>
          </cell>
          <cell r="G1997" t="str">
            <v xml:space="preserve">Conexões F.G. classe pesada Cotovelo 90o ø 1/2  </v>
          </cell>
          <cell r="H1997" t="str">
            <v xml:space="preserve">pç    </v>
          </cell>
          <cell r="I1997">
            <v>20</v>
          </cell>
          <cell r="J1997">
            <v>5.32</v>
          </cell>
          <cell r="K1997">
            <v>7.6</v>
          </cell>
          <cell r="L1997">
            <v>106.4</v>
          </cell>
        </row>
        <row r="1998">
          <cell r="D1998" t="str">
            <v xml:space="preserve">  K.333.            </v>
          </cell>
          <cell r="E1998" t="str">
            <v>CP2106</v>
          </cell>
          <cell r="F1998" t="str">
            <v>3.1.2.3.</v>
          </cell>
          <cell r="G1998" t="str">
            <v xml:space="preserve">Conexões F.G. classe pesada Tê redução ø 3/4 x 1/2  </v>
          </cell>
          <cell r="H1998" t="str">
            <v xml:space="preserve">pç    </v>
          </cell>
          <cell r="I1998">
            <v>4</v>
          </cell>
          <cell r="J1998">
            <v>10.64</v>
          </cell>
          <cell r="K1998">
            <v>15.2</v>
          </cell>
          <cell r="L1998">
            <v>42.56</v>
          </cell>
        </row>
        <row r="1999">
          <cell r="D1999" t="str">
            <v xml:space="preserve">  K.334.            </v>
          </cell>
          <cell r="E1999" t="str">
            <v>CP0627</v>
          </cell>
          <cell r="F1999" t="str">
            <v>3.1.2.4.</v>
          </cell>
          <cell r="G1999" t="str">
            <v xml:space="preserve">Conjunto de conexões e válvulas para cilindro de G.L.P.  </v>
          </cell>
          <cell r="H1999" t="str">
            <v xml:space="preserve">pç    </v>
          </cell>
          <cell r="I1999">
            <v>4</v>
          </cell>
          <cell r="J1999">
            <v>229.25</v>
          </cell>
          <cell r="K1999">
            <v>327.5</v>
          </cell>
          <cell r="L1999">
            <v>917</v>
          </cell>
        </row>
        <row r="2000">
          <cell r="D2000" t="str">
            <v xml:space="preserve">  K.335.            </v>
          </cell>
          <cell r="E2000" t="str">
            <v xml:space="preserve">      </v>
          </cell>
          <cell r="F2000" t="str">
            <v>3.2.</v>
          </cell>
          <cell r="G2000" t="str">
            <v xml:space="preserve">Assentamento de tubulações e conexões para gás (G.L.P.) - Ferro galvanizado classe pesada  </v>
          </cell>
          <cell r="H2000" t="str">
            <v xml:space="preserve">      </v>
          </cell>
          <cell r="I2000">
            <v>0</v>
          </cell>
          <cell r="J2000">
            <v>0</v>
          </cell>
          <cell r="K2000">
            <v>0</v>
          </cell>
          <cell r="L2000">
            <v>0</v>
          </cell>
        </row>
        <row r="2001">
          <cell r="D2001" t="str">
            <v xml:space="preserve">  K.336.            </v>
          </cell>
          <cell r="E2001" t="str">
            <v xml:space="preserve">      </v>
          </cell>
          <cell r="F2001" t="str">
            <v>3.2.1.</v>
          </cell>
          <cell r="G2001" t="str">
            <v xml:space="preserve">Tubo F.G. Classe pesada com peças:  </v>
          </cell>
          <cell r="H2001" t="str">
            <v xml:space="preserve">      </v>
          </cell>
          <cell r="I2001">
            <v>0</v>
          </cell>
          <cell r="J2001">
            <v>0</v>
          </cell>
          <cell r="K2001">
            <v>0</v>
          </cell>
          <cell r="L2001">
            <v>0</v>
          </cell>
        </row>
        <row r="2002">
          <cell r="D2002" t="str">
            <v xml:space="preserve">  K.337.            </v>
          </cell>
          <cell r="E2002" t="str">
            <v>CP0161</v>
          </cell>
          <cell r="F2002" t="str">
            <v>3.2.1.1.</v>
          </cell>
          <cell r="G2002" t="str">
            <v xml:space="preserve">Tubo F.G. Classe pesada com peças: ø 3/4  </v>
          </cell>
          <cell r="H2002" t="str">
            <v xml:space="preserve">m     </v>
          </cell>
          <cell r="I2002">
            <v>31</v>
          </cell>
          <cell r="J2002">
            <v>1.88</v>
          </cell>
          <cell r="K2002">
            <v>7.08</v>
          </cell>
          <cell r="L2002">
            <v>58.28</v>
          </cell>
        </row>
        <row r="2003">
          <cell r="D2003" t="str">
            <v xml:space="preserve">  K.338.            </v>
          </cell>
          <cell r="E2003" t="str">
            <v>CP0161</v>
          </cell>
          <cell r="F2003" t="str">
            <v>3.2.1.2.</v>
          </cell>
          <cell r="G2003" t="str">
            <v xml:space="preserve">Tubo F.G. Classe pesada com peças: ø 1/2  </v>
          </cell>
          <cell r="H2003" t="str">
            <v xml:space="preserve">m     </v>
          </cell>
          <cell r="I2003">
            <v>31</v>
          </cell>
          <cell r="J2003">
            <v>1.88</v>
          </cell>
          <cell r="K2003">
            <v>6.4</v>
          </cell>
          <cell r="L2003">
            <v>58.28</v>
          </cell>
        </row>
        <row r="2004">
          <cell r="D2004" t="str">
            <v xml:space="preserve">  L.  1.            </v>
          </cell>
          <cell r="E2004" t="str">
            <v xml:space="preserve">      </v>
          </cell>
          <cell r="F2004" t="str">
            <v>0.XII.</v>
          </cell>
          <cell r="G2004" t="str">
            <v xml:space="preserve">SALA DE PAINÉIS ELÉTRICOS  </v>
          </cell>
          <cell r="H2004" t="str">
            <v xml:space="preserve">      </v>
          </cell>
          <cell r="I2004">
            <v>0</v>
          </cell>
          <cell r="J2004">
            <v>0</v>
          </cell>
          <cell r="K2004">
            <v>0</v>
          </cell>
          <cell r="L2004">
            <v>0</v>
          </cell>
        </row>
        <row r="2005">
          <cell r="D2005" t="str">
            <v xml:space="preserve">  L.  2.            </v>
          </cell>
          <cell r="E2005" t="str">
            <v xml:space="preserve">      </v>
          </cell>
          <cell r="F2005" t="str">
            <v>1.</v>
          </cell>
          <cell r="G2005" t="str">
            <v xml:space="preserve">Serviços Preliminares  </v>
          </cell>
          <cell r="H2005" t="str">
            <v xml:space="preserve">      </v>
          </cell>
          <cell r="I2005">
            <v>0</v>
          </cell>
          <cell r="J2005">
            <v>0</v>
          </cell>
          <cell r="K2005">
            <v>0</v>
          </cell>
          <cell r="L2005">
            <v>0</v>
          </cell>
        </row>
        <row r="2006">
          <cell r="D2006" t="str">
            <v xml:space="preserve">  L.  3.            </v>
          </cell>
          <cell r="E2006" t="str">
            <v>CP1163</v>
          </cell>
          <cell r="F2006" t="str">
            <v>1.1.</v>
          </cell>
          <cell r="G2006" t="str">
            <v xml:space="preserve">Locacão da obra de edificação com execução de gabarito  </v>
          </cell>
          <cell r="H2006" t="str">
            <v xml:space="preserve">m2    </v>
          </cell>
          <cell r="I2006">
            <v>169</v>
          </cell>
          <cell r="J2006">
            <v>4.3099999999999996</v>
          </cell>
          <cell r="K2006">
            <v>3.61</v>
          </cell>
          <cell r="L2006">
            <v>728.39</v>
          </cell>
        </row>
        <row r="2007">
          <cell r="D2007" t="str">
            <v xml:space="preserve">  L.  4.            </v>
          </cell>
          <cell r="E2007" t="str">
            <v>CP1152</v>
          </cell>
          <cell r="F2007" t="str">
            <v>1.2.</v>
          </cell>
          <cell r="G2007" t="str">
            <v xml:space="preserve">Limpeza mecânica do terreno  </v>
          </cell>
          <cell r="H2007" t="str">
            <v xml:space="preserve">m2    </v>
          </cell>
          <cell r="I2007">
            <v>169</v>
          </cell>
          <cell r="J2007">
            <v>0.55000000000000004</v>
          </cell>
          <cell r="K2007">
            <v>0.46</v>
          </cell>
          <cell r="L2007">
            <v>92.95</v>
          </cell>
        </row>
        <row r="2008">
          <cell r="D2008" t="str">
            <v xml:space="preserve">  L.  5.            </v>
          </cell>
          <cell r="E2008" t="str">
            <v xml:space="preserve">      </v>
          </cell>
          <cell r="F2008" t="str">
            <v>2.</v>
          </cell>
          <cell r="G2008" t="str">
            <v xml:space="preserve">Movimento de Terra  </v>
          </cell>
          <cell r="H2008" t="str">
            <v xml:space="preserve">      </v>
          </cell>
          <cell r="I2008">
            <v>0</v>
          </cell>
          <cell r="J2008">
            <v>0</v>
          </cell>
          <cell r="K2008">
            <v>0</v>
          </cell>
          <cell r="L2008">
            <v>0</v>
          </cell>
        </row>
        <row r="2009">
          <cell r="D2009" t="str">
            <v xml:space="preserve">  L.  6.            </v>
          </cell>
          <cell r="E2009" t="str">
            <v>CP1131</v>
          </cell>
          <cell r="F2009" t="str">
            <v>2.1.</v>
          </cell>
          <cell r="G2009" t="str">
            <v xml:space="preserve">Escavação manual material de 1ª categoria prof. até 1,50m  </v>
          </cell>
          <cell r="H2009" t="str">
            <v xml:space="preserve">m³    </v>
          </cell>
          <cell r="I2009">
            <v>32</v>
          </cell>
          <cell r="J2009">
            <v>20.89</v>
          </cell>
          <cell r="K2009">
            <v>19.02</v>
          </cell>
          <cell r="L2009">
            <v>668.48</v>
          </cell>
        </row>
        <row r="2010">
          <cell r="D2010" t="str">
            <v xml:space="preserve">  L.  7.            </v>
          </cell>
          <cell r="E2010" t="str">
            <v>CP0202</v>
          </cell>
          <cell r="F2010" t="str">
            <v>2.2.</v>
          </cell>
          <cell r="G2010" t="str">
            <v xml:space="preserve">Nivelamento e compactação de solo  </v>
          </cell>
          <cell r="H2010" t="str">
            <v xml:space="preserve">m²    </v>
          </cell>
          <cell r="I2010">
            <v>130</v>
          </cell>
          <cell r="J2010">
            <v>4.17</v>
          </cell>
          <cell r="K2010">
            <v>5.96</v>
          </cell>
          <cell r="L2010">
            <v>542.1</v>
          </cell>
        </row>
        <row r="2011">
          <cell r="D2011" t="str">
            <v xml:space="preserve">  L.  8.            </v>
          </cell>
          <cell r="E2011" t="str">
            <v xml:space="preserve">      </v>
          </cell>
          <cell r="F2011" t="str">
            <v>3.</v>
          </cell>
          <cell r="G2011" t="str">
            <v xml:space="preserve">Estruturas de Concreto (incluindo obras diversas)  </v>
          </cell>
          <cell r="H2011" t="str">
            <v xml:space="preserve">      </v>
          </cell>
          <cell r="I2011">
            <v>0</v>
          </cell>
          <cell r="J2011">
            <v>0</v>
          </cell>
          <cell r="K2011">
            <v>0</v>
          </cell>
          <cell r="L2011">
            <v>0</v>
          </cell>
        </row>
        <row r="2012">
          <cell r="D2012" t="str">
            <v xml:space="preserve">  L.  9.            </v>
          </cell>
          <cell r="E2012" t="str">
            <v xml:space="preserve">      </v>
          </cell>
          <cell r="F2012" t="str">
            <v>3.1.</v>
          </cell>
          <cell r="G2012" t="str">
            <v xml:space="preserve">Fundação direta tipo Radier  </v>
          </cell>
          <cell r="H2012" t="str">
            <v xml:space="preserve">      </v>
          </cell>
          <cell r="I2012">
            <v>0</v>
          </cell>
          <cell r="J2012">
            <v>0</v>
          </cell>
          <cell r="K2012">
            <v>0</v>
          </cell>
          <cell r="L2012">
            <v>0</v>
          </cell>
        </row>
        <row r="2013">
          <cell r="D2013" t="str">
            <v xml:space="preserve">  L. 10.            </v>
          </cell>
          <cell r="E2013" t="str">
            <v>CP0201</v>
          </cell>
          <cell r="F2013" t="str">
            <v>3.1.1.</v>
          </cell>
          <cell r="G2013" t="str">
            <v xml:space="preserve">Lastro de brita n° 1  </v>
          </cell>
          <cell r="H2013" t="str">
            <v xml:space="preserve">m³    </v>
          </cell>
          <cell r="I2013">
            <v>7</v>
          </cell>
          <cell r="J2013">
            <v>61.94</v>
          </cell>
          <cell r="K2013">
            <v>87.47</v>
          </cell>
          <cell r="L2013">
            <v>433.58</v>
          </cell>
        </row>
        <row r="2014">
          <cell r="D2014" t="str">
            <v xml:space="preserve">  L. 11.            </v>
          </cell>
          <cell r="E2014" t="str">
            <v>CP0200</v>
          </cell>
          <cell r="F2014" t="str">
            <v>3.1.2.</v>
          </cell>
          <cell r="G2014" t="str">
            <v xml:space="preserve">Lona plástica  </v>
          </cell>
          <cell r="H2014" t="str">
            <v xml:space="preserve">m²    </v>
          </cell>
          <cell r="I2014">
            <v>140</v>
          </cell>
          <cell r="J2014">
            <v>2.83</v>
          </cell>
          <cell r="K2014">
            <v>4.04</v>
          </cell>
          <cell r="L2014">
            <v>396.2</v>
          </cell>
        </row>
        <row r="2015">
          <cell r="D2015" t="str">
            <v xml:space="preserve">  L. 12.            </v>
          </cell>
          <cell r="E2015" t="str">
            <v>CP0098</v>
          </cell>
          <cell r="F2015" t="str">
            <v>3.1.3.</v>
          </cell>
          <cell r="G2015" t="str">
            <v xml:space="preserve">Fornecimento e lançamento de concreto usinado bombeado fck=15 MPA  </v>
          </cell>
          <cell r="H2015" t="str">
            <v xml:space="preserve">m³    </v>
          </cell>
          <cell r="I2015">
            <v>23</v>
          </cell>
          <cell r="J2015">
            <v>338.63</v>
          </cell>
          <cell r="K2015">
            <v>282.86</v>
          </cell>
          <cell r="L2015">
            <v>7788.49</v>
          </cell>
        </row>
        <row r="2016">
          <cell r="D2016" t="str">
            <v xml:space="preserve">  L. 13.            </v>
          </cell>
          <cell r="E2016" t="str">
            <v>CP0215</v>
          </cell>
          <cell r="F2016" t="str">
            <v>3.1.4.</v>
          </cell>
          <cell r="G2016" t="str">
            <v xml:space="preserve">Tela Bematel tipo Q196  </v>
          </cell>
          <cell r="H2016" t="str">
            <v xml:space="preserve">kg    </v>
          </cell>
          <cell r="I2016">
            <v>405</v>
          </cell>
          <cell r="J2016">
            <v>5.86</v>
          </cell>
          <cell r="K2016">
            <v>4.8899999999999997</v>
          </cell>
          <cell r="L2016">
            <v>2373.3000000000002</v>
          </cell>
        </row>
        <row r="2017">
          <cell r="D2017" t="str">
            <v xml:space="preserve">  L. 14.            </v>
          </cell>
          <cell r="E2017" t="str">
            <v xml:space="preserve">      </v>
          </cell>
          <cell r="F2017" t="str">
            <v>3.2.</v>
          </cell>
          <cell r="G2017" t="str">
            <v xml:space="preserve">Estrutura  </v>
          </cell>
          <cell r="H2017" t="str">
            <v xml:space="preserve">      </v>
          </cell>
          <cell r="I2017">
            <v>0</v>
          </cell>
          <cell r="J2017">
            <v>0</v>
          </cell>
          <cell r="K2017">
            <v>0</v>
          </cell>
          <cell r="L2017">
            <v>0</v>
          </cell>
        </row>
        <row r="2018">
          <cell r="D2018" t="str">
            <v xml:space="preserve">  L. 15.            </v>
          </cell>
          <cell r="E2018" t="str">
            <v>CP0061</v>
          </cell>
          <cell r="F2018" t="str">
            <v>3.2.1.</v>
          </cell>
          <cell r="G2018" t="str">
            <v xml:space="preserve">Formas planas para estruturas em chapa de madeira Plastificada - 02 reaproveitamentos, inclusive desforma  </v>
          </cell>
          <cell r="H2018" t="str">
            <v xml:space="preserve">m²    </v>
          </cell>
          <cell r="I2018">
            <v>260</v>
          </cell>
          <cell r="J2018">
            <v>87.97</v>
          </cell>
          <cell r="K2018">
            <v>73.349999999999994</v>
          </cell>
          <cell r="L2018">
            <v>22872.2</v>
          </cell>
        </row>
        <row r="2019">
          <cell r="D2019" t="str">
            <v xml:space="preserve">  L. 16.            </v>
          </cell>
          <cell r="E2019" t="str">
            <v>CP1056</v>
          </cell>
          <cell r="F2019" t="str">
            <v>3.3.</v>
          </cell>
          <cell r="G2019" t="str">
            <v xml:space="preserve">Armadura de aço CA-50, com fornecimento do material Corte e dobra  </v>
          </cell>
          <cell r="H2019" t="str">
            <v xml:space="preserve">kg    </v>
          </cell>
          <cell r="I2019">
            <v>1320</v>
          </cell>
          <cell r="J2019">
            <v>6.9</v>
          </cell>
          <cell r="K2019">
            <v>5.78</v>
          </cell>
          <cell r="L2019">
            <v>9108</v>
          </cell>
        </row>
        <row r="2020">
          <cell r="D2020" t="str">
            <v xml:space="preserve">  L. 17.            </v>
          </cell>
          <cell r="E2020" t="str">
            <v>CP0098</v>
          </cell>
          <cell r="F2020" t="str">
            <v>3.4.</v>
          </cell>
          <cell r="G2020" t="str">
            <v xml:space="preserve">Fornecimento e lançamento de concreto usinado bombeado fck = 15 MPA  </v>
          </cell>
          <cell r="H2020" t="str">
            <v xml:space="preserve">m³    </v>
          </cell>
          <cell r="I2020">
            <v>20</v>
          </cell>
          <cell r="J2020">
            <v>338.63</v>
          </cell>
          <cell r="K2020">
            <v>282.86</v>
          </cell>
          <cell r="L2020">
            <v>6772.6</v>
          </cell>
        </row>
        <row r="2021">
          <cell r="D2021" t="str">
            <v xml:space="preserve">  L. 18.            </v>
          </cell>
          <cell r="E2021" t="str">
            <v xml:space="preserve">      </v>
          </cell>
          <cell r="F2021" t="str">
            <v>4.</v>
          </cell>
          <cell r="G2021" t="str">
            <v xml:space="preserve">Obras Diversas  </v>
          </cell>
          <cell r="H2021" t="str">
            <v xml:space="preserve">      </v>
          </cell>
          <cell r="I2021">
            <v>0</v>
          </cell>
          <cell r="J2021">
            <v>0</v>
          </cell>
          <cell r="K2021">
            <v>0</v>
          </cell>
          <cell r="L2021">
            <v>0</v>
          </cell>
        </row>
        <row r="2022">
          <cell r="D2022" t="str">
            <v xml:space="preserve">  L. 19.            </v>
          </cell>
          <cell r="E2022" t="str">
            <v xml:space="preserve">      </v>
          </cell>
          <cell r="F2022" t="str">
            <v>4.1.</v>
          </cell>
          <cell r="G2022" t="str">
            <v xml:space="preserve">Alvenaria em blocos de concreto  </v>
          </cell>
          <cell r="H2022" t="str">
            <v xml:space="preserve">      </v>
          </cell>
          <cell r="I2022">
            <v>0</v>
          </cell>
          <cell r="J2022">
            <v>0</v>
          </cell>
          <cell r="K2022">
            <v>0</v>
          </cell>
          <cell r="L2022">
            <v>0</v>
          </cell>
        </row>
        <row r="2023">
          <cell r="D2023" t="str">
            <v xml:space="preserve">  L. 20.            </v>
          </cell>
          <cell r="E2023" t="str">
            <v>CP0047</v>
          </cell>
          <cell r="F2023" t="str">
            <v>4.1.1.</v>
          </cell>
          <cell r="G2023" t="str">
            <v xml:space="preserve">Alvenaria em blocos de concreto 40 x 20 x 20 e = 20 cm  </v>
          </cell>
          <cell r="H2023" t="str">
            <v xml:space="preserve">m2    </v>
          </cell>
          <cell r="I2023">
            <v>89</v>
          </cell>
          <cell r="J2023">
            <v>45.68</v>
          </cell>
          <cell r="K2023">
            <v>38.11</v>
          </cell>
          <cell r="L2023">
            <v>4065.52</v>
          </cell>
        </row>
        <row r="2024">
          <cell r="D2024" t="str">
            <v xml:space="preserve">  L. 21.            </v>
          </cell>
          <cell r="E2024" t="str">
            <v>CP0205</v>
          </cell>
          <cell r="F2024" t="str">
            <v>4.1.2.</v>
          </cell>
          <cell r="G2024" t="str">
            <v xml:space="preserve">Chapisco com cimento AF-32 e areia traço 1:3  </v>
          </cell>
          <cell r="H2024" t="str">
            <v xml:space="preserve">m2    </v>
          </cell>
          <cell r="I2024">
            <v>274</v>
          </cell>
          <cell r="J2024">
            <v>3.1</v>
          </cell>
          <cell r="K2024">
            <v>2.95</v>
          </cell>
          <cell r="L2024">
            <v>849.4</v>
          </cell>
        </row>
        <row r="2025">
          <cell r="D2025" t="str">
            <v xml:space="preserve">  L. 22.            </v>
          </cell>
          <cell r="E2025" t="str">
            <v>CP0962</v>
          </cell>
          <cell r="F2025" t="str">
            <v>4.1.3.</v>
          </cell>
          <cell r="G2025" t="str">
            <v xml:space="preserve">Reboco paulista  </v>
          </cell>
          <cell r="H2025" t="str">
            <v xml:space="preserve">m2    </v>
          </cell>
          <cell r="I2025">
            <v>274</v>
          </cell>
          <cell r="J2025">
            <v>14.51</v>
          </cell>
          <cell r="K2025">
            <v>20.73</v>
          </cell>
          <cell r="L2025">
            <v>3975.74</v>
          </cell>
        </row>
        <row r="2026">
          <cell r="D2026" t="str">
            <v xml:space="preserve">  L. 23.            </v>
          </cell>
          <cell r="E2026" t="str">
            <v>CP0142</v>
          </cell>
          <cell r="F2026" t="str">
            <v>4.1.4.</v>
          </cell>
          <cell r="G2026" t="str">
            <v xml:space="preserve">Emassamento  </v>
          </cell>
          <cell r="H2026" t="str">
            <v xml:space="preserve">m2    </v>
          </cell>
          <cell r="I2026">
            <v>274</v>
          </cell>
          <cell r="J2026">
            <v>9.4700000000000006</v>
          </cell>
          <cell r="K2026">
            <v>15.75</v>
          </cell>
          <cell r="L2026">
            <v>2594.7800000000002</v>
          </cell>
        </row>
        <row r="2027">
          <cell r="D2027" t="str">
            <v xml:space="preserve">  L. 24.            </v>
          </cell>
          <cell r="E2027" t="str">
            <v>CP0337</v>
          </cell>
          <cell r="F2027" t="str">
            <v>4.1.5.</v>
          </cell>
          <cell r="G2027" t="str">
            <v xml:space="preserve">Pintura acrílica cor branco geo da coral ou similar  </v>
          </cell>
          <cell r="H2027" t="str">
            <v xml:space="preserve">m2    </v>
          </cell>
          <cell r="I2027">
            <v>174</v>
          </cell>
          <cell r="J2027">
            <v>9.2100000000000009</v>
          </cell>
          <cell r="K2027">
            <v>13.15</v>
          </cell>
          <cell r="L2027">
            <v>1602.54</v>
          </cell>
        </row>
        <row r="2028">
          <cell r="D2028" t="str">
            <v xml:space="preserve">  L. 25.            </v>
          </cell>
          <cell r="E2028" t="str">
            <v>CP0227</v>
          </cell>
          <cell r="F2028" t="str">
            <v>4.1.6.</v>
          </cell>
          <cell r="G2028" t="str">
            <v xml:space="preserve">Revestimento acril-color LT/Liso da face-color ou similar ref.: de tonalidade 1226P da coral ou similar  </v>
          </cell>
          <cell r="H2028" t="str">
            <v xml:space="preserve">m2    </v>
          </cell>
          <cell r="I2028">
            <v>100</v>
          </cell>
          <cell r="J2028">
            <v>9.35</v>
          </cell>
          <cell r="K2028">
            <v>13.35</v>
          </cell>
          <cell r="L2028">
            <v>935</v>
          </cell>
        </row>
        <row r="2029">
          <cell r="D2029" t="str">
            <v xml:space="preserve">  L. 26.            </v>
          </cell>
          <cell r="E2029" t="str">
            <v xml:space="preserve">      </v>
          </cell>
          <cell r="F2029" t="str">
            <v>4.2.</v>
          </cell>
          <cell r="G2029" t="str">
            <v xml:space="preserve">Esquadrias:  </v>
          </cell>
          <cell r="H2029" t="str">
            <v xml:space="preserve">      </v>
          </cell>
          <cell r="I2029">
            <v>0</v>
          </cell>
          <cell r="J2029">
            <v>0</v>
          </cell>
          <cell r="K2029">
            <v>0</v>
          </cell>
          <cell r="L2029">
            <v>0</v>
          </cell>
        </row>
        <row r="2030">
          <cell r="D2030" t="str">
            <v xml:space="preserve">  L. 27.            </v>
          </cell>
          <cell r="E2030" t="str">
            <v>CP0263</v>
          </cell>
          <cell r="F2030" t="str">
            <v>4.2.1.</v>
          </cell>
          <cell r="G2030" t="str">
            <v xml:space="preserve">Esquadrias em alumínio anodizado preto, maxim-ar, fixo inclusive acessórios, conforme projeto  </v>
          </cell>
          <cell r="H2030" t="str">
            <v xml:space="preserve">m²    </v>
          </cell>
          <cell r="I2030">
            <v>15</v>
          </cell>
          <cell r="J2030">
            <v>445.56</v>
          </cell>
          <cell r="K2030">
            <v>374.16</v>
          </cell>
          <cell r="L2030">
            <v>6683.4</v>
          </cell>
        </row>
        <row r="2031">
          <cell r="D2031" t="str">
            <v xml:space="preserve">  L. 28.            </v>
          </cell>
          <cell r="E2031" t="str">
            <v>CP0249</v>
          </cell>
          <cell r="F2031" t="str">
            <v>4.2.2.</v>
          </cell>
          <cell r="G2031" t="str">
            <v xml:space="preserve">Porta de correr em alumínio anodizado preto  </v>
          </cell>
          <cell r="H2031" t="str">
            <v xml:space="preserve">m²    </v>
          </cell>
          <cell r="I2031">
            <v>15</v>
          </cell>
          <cell r="J2031">
            <v>479.96</v>
          </cell>
          <cell r="K2031">
            <v>401.93</v>
          </cell>
          <cell r="L2031">
            <v>7199.4</v>
          </cell>
        </row>
        <row r="2032">
          <cell r="D2032" t="str">
            <v xml:space="preserve">  L. 29.            </v>
          </cell>
          <cell r="E2032" t="str">
            <v xml:space="preserve">      </v>
          </cell>
          <cell r="F2032" t="str">
            <v>4.3.</v>
          </cell>
          <cell r="G2032" t="str">
            <v xml:space="preserve">Vidros  </v>
          </cell>
          <cell r="H2032" t="str">
            <v xml:space="preserve">      </v>
          </cell>
          <cell r="I2032">
            <v>0</v>
          </cell>
          <cell r="J2032">
            <v>0</v>
          </cell>
          <cell r="K2032">
            <v>0</v>
          </cell>
          <cell r="L2032">
            <v>0</v>
          </cell>
        </row>
        <row r="2033">
          <cell r="D2033" t="str">
            <v xml:space="preserve">  L. 30.            </v>
          </cell>
          <cell r="E2033" t="str">
            <v>CP0981</v>
          </cell>
          <cell r="F2033" t="str">
            <v>4.3.1.</v>
          </cell>
          <cell r="G2033" t="str">
            <v xml:space="preserve">Vidro liso transparente e=3mm  </v>
          </cell>
          <cell r="H2033" t="str">
            <v xml:space="preserve">m2    </v>
          </cell>
          <cell r="I2033">
            <v>8</v>
          </cell>
          <cell r="J2033">
            <v>36.799999999999997</v>
          </cell>
          <cell r="K2033">
            <v>30.74</v>
          </cell>
          <cell r="L2033">
            <v>294.39999999999998</v>
          </cell>
        </row>
        <row r="2034">
          <cell r="D2034" t="str">
            <v xml:space="preserve">  L. 31.            </v>
          </cell>
          <cell r="E2034" t="str">
            <v xml:space="preserve">      </v>
          </cell>
          <cell r="F2034" t="str">
            <v>4.4.</v>
          </cell>
          <cell r="G2034" t="str">
            <v xml:space="preserve">Cobertura:  </v>
          </cell>
          <cell r="H2034" t="str">
            <v xml:space="preserve">      </v>
          </cell>
          <cell r="I2034">
            <v>0</v>
          </cell>
          <cell r="J2034">
            <v>0</v>
          </cell>
          <cell r="K2034">
            <v>0</v>
          </cell>
          <cell r="L2034">
            <v>0</v>
          </cell>
        </row>
        <row r="2035">
          <cell r="D2035" t="str">
            <v xml:space="preserve">  L. 32.            </v>
          </cell>
          <cell r="E2035" t="str">
            <v>CP0042</v>
          </cell>
          <cell r="F2035" t="str">
            <v>4.4.1.</v>
          </cell>
          <cell r="G2035" t="str">
            <v xml:space="preserve">Cobertura em telha ondulada de fibrocimento da Eternit ou similar com estrutura de madeira, inclusive acessórios de fixação  </v>
          </cell>
          <cell r="H2035" t="str">
            <v xml:space="preserve">m2    </v>
          </cell>
          <cell r="I2035">
            <v>121</v>
          </cell>
          <cell r="J2035">
            <v>60.36</v>
          </cell>
          <cell r="K2035">
            <v>65.81</v>
          </cell>
          <cell r="L2035">
            <v>7303.56</v>
          </cell>
        </row>
        <row r="2036">
          <cell r="D2036" t="str">
            <v xml:space="preserve">  L. 33.            </v>
          </cell>
          <cell r="E2036" t="str">
            <v>CP0133</v>
          </cell>
          <cell r="F2036" t="str">
            <v>4.4.2.</v>
          </cell>
          <cell r="G2036" t="str">
            <v xml:space="preserve">Calha em chapa galvanizada, incl. acessórios de fixação  </v>
          </cell>
          <cell r="H2036" t="str">
            <v xml:space="preserve">m     </v>
          </cell>
          <cell r="I2036">
            <v>20</v>
          </cell>
          <cell r="J2036">
            <v>106.29</v>
          </cell>
          <cell r="K2036">
            <v>89.07</v>
          </cell>
          <cell r="L2036">
            <v>2125.8000000000002</v>
          </cell>
        </row>
        <row r="2037">
          <cell r="D2037" t="str">
            <v xml:space="preserve">  L. 34.            </v>
          </cell>
          <cell r="E2037" t="str">
            <v>CP0199</v>
          </cell>
          <cell r="F2037" t="str">
            <v>4.4.3.</v>
          </cell>
          <cell r="G2037" t="str">
            <v xml:space="preserve">Cumeeira normal para telha de fibrocimento  </v>
          </cell>
          <cell r="H2037" t="str">
            <v xml:space="preserve">m     </v>
          </cell>
          <cell r="I2037">
            <v>10</v>
          </cell>
          <cell r="J2037">
            <v>24.28</v>
          </cell>
          <cell r="K2037">
            <v>20.329999999999998</v>
          </cell>
          <cell r="L2037">
            <v>242.8</v>
          </cell>
        </row>
        <row r="2038">
          <cell r="D2038" t="str">
            <v xml:space="preserve">  L. 35.            </v>
          </cell>
          <cell r="E2038" t="str">
            <v xml:space="preserve">      </v>
          </cell>
          <cell r="F2038" t="str">
            <v>4.5.</v>
          </cell>
          <cell r="G2038" t="str">
            <v xml:space="preserve">Limpeza da Obra  </v>
          </cell>
          <cell r="H2038" t="str">
            <v xml:space="preserve">      </v>
          </cell>
          <cell r="I2038">
            <v>0</v>
          </cell>
          <cell r="J2038">
            <v>0</v>
          </cell>
          <cell r="K2038">
            <v>0</v>
          </cell>
          <cell r="L2038">
            <v>0</v>
          </cell>
        </row>
        <row r="2039">
          <cell r="D2039" t="str">
            <v xml:space="preserve">  L. 36.            </v>
          </cell>
          <cell r="E2039" t="str">
            <v>CP0197</v>
          </cell>
          <cell r="F2039" t="str">
            <v>4.5.1.</v>
          </cell>
          <cell r="G2039" t="str">
            <v xml:space="preserve">Remoção de entulho inclusive bota-fora em local apropriado  </v>
          </cell>
          <cell r="H2039" t="str">
            <v xml:space="preserve">m³    </v>
          </cell>
          <cell r="I2039">
            <v>8</v>
          </cell>
          <cell r="J2039">
            <v>37.94</v>
          </cell>
          <cell r="K2039">
            <v>38.869999999999997</v>
          </cell>
          <cell r="L2039">
            <v>303.52</v>
          </cell>
        </row>
        <row r="2040">
          <cell r="D2040" t="str">
            <v xml:space="preserve">  L. 37.            </v>
          </cell>
          <cell r="E2040" t="str">
            <v>CP0274</v>
          </cell>
          <cell r="F2040" t="str">
            <v>4.5.2.</v>
          </cell>
          <cell r="G2040" t="str">
            <v xml:space="preserve">Limpeza geral da obra  </v>
          </cell>
          <cell r="H2040" t="str">
            <v xml:space="preserve">m³    </v>
          </cell>
          <cell r="I2040">
            <v>100</v>
          </cell>
          <cell r="J2040">
            <v>3.22</v>
          </cell>
          <cell r="K2040">
            <v>2.69</v>
          </cell>
          <cell r="L2040">
            <v>322</v>
          </cell>
        </row>
        <row r="2041">
          <cell r="D2041" t="str">
            <v xml:space="preserve">  L. 38.            </v>
          </cell>
          <cell r="E2041" t="str">
            <v>CP0633</v>
          </cell>
          <cell r="F2041" t="str">
            <v>4.5.3.</v>
          </cell>
          <cell r="G2041" t="str">
            <v xml:space="preserve">Limpeza de vidros  </v>
          </cell>
          <cell r="H2041" t="str">
            <v xml:space="preserve">m2    </v>
          </cell>
          <cell r="I2041">
            <v>8</v>
          </cell>
          <cell r="J2041">
            <v>3.47</v>
          </cell>
          <cell r="K2041">
            <v>4.25</v>
          </cell>
          <cell r="L2041">
            <v>27.76</v>
          </cell>
        </row>
        <row r="2042">
          <cell r="D2042" t="str">
            <v xml:space="preserve">  L. 39.            </v>
          </cell>
          <cell r="E2042" t="str">
            <v xml:space="preserve">      </v>
          </cell>
          <cell r="F2042" t="str">
            <v>4.6.</v>
          </cell>
          <cell r="G2042" t="str">
            <v xml:space="preserve">Pavimentação  </v>
          </cell>
          <cell r="H2042" t="str">
            <v xml:space="preserve">      </v>
          </cell>
          <cell r="I2042">
            <v>0</v>
          </cell>
          <cell r="J2042">
            <v>0</v>
          </cell>
          <cell r="K2042">
            <v>0</v>
          </cell>
          <cell r="L2042">
            <v>0</v>
          </cell>
        </row>
        <row r="2043">
          <cell r="D2043" t="str">
            <v xml:space="preserve">  L. 40.            </v>
          </cell>
          <cell r="E2043" t="str">
            <v>CP0128</v>
          </cell>
          <cell r="F2043" t="str">
            <v>4.6.1.</v>
          </cell>
          <cell r="G2043" t="str">
            <v xml:space="preserve">Cimentado rústico e=3 cm com junta plástica  </v>
          </cell>
          <cell r="H2043" t="str">
            <v xml:space="preserve">m2    </v>
          </cell>
          <cell r="I2043">
            <v>130</v>
          </cell>
          <cell r="J2043">
            <v>16.27</v>
          </cell>
          <cell r="K2043">
            <v>14.65</v>
          </cell>
          <cell r="L2043">
            <v>2115.1</v>
          </cell>
        </row>
        <row r="2044">
          <cell r="D2044" t="str">
            <v xml:space="preserve">  L. 41.            </v>
          </cell>
          <cell r="E2044" t="str">
            <v>CP0198</v>
          </cell>
          <cell r="F2044" t="str">
            <v>4.7.</v>
          </cell>
          <cell r="G2044" t="str">
            <v xml:space="preserve">Canaleta em concreto com tampa metálica  </v>
          </cell>
          <cell r="H2044" t="str">
            <v xml:space="preserve">m     </v>
          </cell>
          <cell r="I2044">
            <v>100</v>
          </cell>
          <cell r="J2044">
            <v>215.77</v>
          </cell>
          <cell r="K2044">
            <v>180.06</v>
          </cell>
          <cell r="L2044">
            <v>21577</v>
          </cell>
        </row>
        <row r="2045">
          <cell r="D2045" t="str">
            <v xml:space="preserve">  L. 42.            </v>
          </cell>
          <cell r="E2045" t="str">
            <v xml:space="preserve">      </v>
          </cell>
          <cell r="F2045" t="str">
            <v>5.</v>
          </cell>
          <cell r="G2045" t="str">
            <v xml:space="preserve">Serviços Diversos  </v>
          </cell>
          <cell r="H2045" t="str">
            <v xml:space="preserve">      </v>
          </cell>
          <cell r="I2045">
            <v>0</v>
          </cell>
          <cell r="J2045">
            <v>0</v>
          </cell>
          <cell r="K2045">
            <v>0</v>
          </cell>
          <cell r="L2045">
            <v>0</v>
          </cell>
        </row>
        <row r="2046">
          <cell r="D2046" t="str">
            <v xml:space="preserve">  L. 43.            </v>
          </cell>
          <cell r="E2046" t="str">
            <v>CP0195</v>
          </cell>
          <cell r="F2046" t="str">
            <v>5.1.</v>
          </cell>
          <cell r="G2046" t="str">
            <v xml:space="preserve">Instalações elétricas  </v>
          </cell>
          <cell r="H2046" t="str">
            <v xml:space="preserve">un    </v>
          </cell>
          <cell r="I2046">
            <v>1</v>
          </cell>
          <cell r="J2046">
            <v>107.71</v>
          </cell>
          <cell r="K2046">
            <v>89.88</v>
          </cell>
          <cell r="L2046">
            <v>107.71</v>
          </cell>
        </row>
        <row r="2047">
          <cell r="D2047" t="str">
            <v xml:space="preserve">  L. 44.            </v>
          </cell>
          <cell r="E2047" t="str">
            <v>CP0194</v>
          </cell>
          <cell r="F2047" t="str">
            <v>5.2.</v>
          </cell>
          <cell r="G2047" t="str">
            <v xml:space="preserve">Instalações de água pluvial  </v>
          </cell>
          <cell r="H2047" t="str">
            <v xml:space="preserve">un    </v>
          </cell>
          <cell r="I2047">
            <v>1</v>
          </cell>
          <cell r="J2047">
            <v>36.159999999999997</v>
          </cell>
          <cell r="K2047">
            <v>30.24</v>
          </cell>
          <cell r="L2047">
            <v>36.159999999999997</v>
          </cell>
        </row>
        <row r="2048">
          <cell r="D2048" t="str">
            <v xml:space="preserve">  M.  1.            </v>
          </cell>
          <cell r="E2048" t="str">
            <v xml:space="preserve">      </v>
          </cell>
          <cell r="F2048" t="str">
            <v>0.XII.I.</v>
          </cell>
          <cell r="G2048" t="str">
            <v xml:space="preserve">GUARITA  </v>
          </cell>
          <cell r="H2048" t="str">
            <v xml:space="preserve">      </v>
          </cell>
          <cell r="I2048">
            <v>0</v>
          </cell>
          <cell r="J2048">
            <v>0</v>
          </cell>
          <cell r="K2048">
            <v>0</v>
          </cell>
          <cell r="L2048">
            <v>0</v>
          </cell>
        </row>
        <row r="2049">
          <cell r="D2049" t="str">
            <v xml:space="preserve">  M.  2.            </v>
          </cell>
          <cell r="E2049" t="str">
            <v xml:space="preserve">      </v>
          </cell>
          <cell r="F2049" t="str">
            <v>1.</v>
          </cell>
          <cell r="G2049" t="str">
            <v xml:space="preserve">Serviços Preliminares  </v>
          </cell>
          <cell r="H2049" t="str">
            <v xml:space="preserve">      </v>
          </cell>
          <cell r="I2049">
            <v>0</v>
          </cell>
          <cell r="J2049">
            <v>0</v>
          </cell>
          <cell r="K2049">
            <v>0</v>
          </cell>
          <cell r="L2049">
            <v>0</v>
          </cell>
        </row>
        <row r="2050">
          <cell r="D2050" t="str">
            <v xml:space="preserve">  M.  3.            </v>
          </cell>
          <cell r="E2050" t="str">
            <v>CP1163</v>
          </cell>
          <cell r="F2050" t="str">
            <v>1.1.</v>
          </cell>
          <cell r="G2050" t="str">
            <v xml:space="preserve">Locacão da obra de edificação com execução de gabarito  </v>
          </cell>
          <cell r="H2050" t="str">
            <v xml:space="preserve">m2    </v>
          </cell>
          <cell r="I2050">
            <v>13</v>
          </cell>
          <cell r="J2050">
            <v>4.3099999999999996</v>
          </cell>
          <cell r="K2050">
            <v>3.61</v>
          </cell>
          <cell r="L2050">
            <v>56.03</v>
          </cell>
        </row>
        <row r="2051">
          <cell r="D2051" t="str">
            <v xml:space="preserve">  M.  4.            </v>
          </cell>
          <cell r="E2051" t="str">
            <v>CP1152</v>
          </cell>
          <cell r="F2051" t="str">
            <v>1.2.</v>
          </cell>
          <cell r="G2051" t="str">
            <v xml:space="preserve">Limpeza mecânica do terreno  </v>
          </cell>
          <cell r="H2051" t="str">
            <v xml:space="preserve">m2    </v>
          </cell>
          <cell r="I2051">
            <v>13</v>
          </cell>
          <cell r="J2051">
            <v>0.55000000000000004</v>
          </cell>
          <cell r="K2051">
            <v>0.46</v>
          </cell>
          <cell r="L2051">
            <v>7.15</v>
          </cell>
        </row>
        <row r="2052">
          <cell r="D2052" t="str">
            <v xml:space="preserve">  M.  5.            </v>
          </cell>
          <cell r="E2052" t="str">
            <v xml:space="preserve">      </v>
          </cell>
          <cell r="F2052" t="str">
            <v>2.</v>
          </cell>
          <cell r="G2052" t="str">
            <v xml:space="preserve">Movimento de Terra  </v>
          </cell>
          <cell r="H2052" t="str">
            <v xml:space="preserve">      </v>
          </cell>
          <cell r="I2052">
            <v>0</v>
          </cell>
          <cell r="J2052">
            <v>0</v>
          </cell>
          <cell r="K2052">
            <v>0</v>
          </cell>
          <cell r="L2052">
            <v>0</v>
          </cell>
        </row>
        <row r="2053">
          <cell r="D2053" t="str">
            <v xml:space="preserve">  M.  6.            </v>
          </cell>
          <cell r="E2053" t="str">
            <v>CP1141</v>
          </cell>
          <cell r="F2053" t="str">
            <v>2.1.</v>
          </cell>
          <cell r="G2053" t="str">
            <v xml:space="preserve">Escavação mecânica em áreas solo de qualquer natureza exceto rocha, inclusive carga e descarga  </v>
          </cell>
          <cell r="H2053" t="str">
            <v xml:space="preserve">m³    </v>
          </cell>
          <cell r="I2053">
            <v>93</v>
          </cell>
          <cell r="J2053">
            <v>3.89</v>
          </cell>
          <cell r="K2053">
            <v>5.55</v>
          </cell>
          <cell r="L2053">
            <v>361.77</v>
          </cell>
        </row>
        <row r="2054">
          <cell r="D2054" t="str">
            <v xml:space="preserve">  M.  7.            </v>
          </cell>
          <cell r="E2054" t="str">
            <v>CP1109</v>
          </cell>
          <cell r="F2054" t="str">
            <v>2.2.</v>
          </cell>
          <cell r="G2054" t="str">
            <v xml:space="preserve">Extração de rocha a frio em valas  </v>
          </cell>
          <cell r="H2054" t="str">
            <v xml:space="preserve">m³    </v>
          </cell>
          <cell r="I2054">
            <v>1</v>
          </cell>
          <cell r="J2054">
            <v>302.83999999999997</v>
          </cell>
          <cell r="K2054">
            <v>432.63</v>
          </cell>
          <cell r="L2054">
            <v>302.83999999999997</v>
          </cell>
        </row>
        <row r="2055">
          <cell r="D2055" t="str">
            <v xml:space="preserve">  M.  8.            </v>
          </cell>
          <cell r="E2055" t="str">
            <v>CP1131</v>
          </cell>
          <cell r="F2055" t="str">
            <v>2.3.</v>
          </cell>
          <cell r="G2055" t="str">
            <v xml:space="preserve">Escavação manual material de 1ª categoria prof. até 1,50m  </v>
          </cell>
          <cell r="H2055" t="str">
            <v xml:space="preserve">m³    </v>
          </cell>
          <cell r="I2055">
            <v>5</v>
          </cell>
          <cell r="J2055">
            <v>20.89</v>
          </cell>
          <cell r="K2055">
            <v>19.02</v>
          </cell>
          <cell r="L2055">
            <v>104.45</v>
          </cell>
        </row>
        <row r="2056">
          <cell r="D2056" t="str">
            <v xml:space="preserve">  M.  9.            </v>
          </cell>
          <cell r="E2056" t="str">
            <v>CP1122</v>
          </cell>
          <cell r="F2056" t="str">
            <v>2.4.</v>
          </cell>
          <cell r="G2056" t="str">
            <v xml:space="preserve">Escavação manual material de 1ª categoria prof. 1,50 m até 3,00m  </v>
          </cell>
          <cell r="H2056" t="str">
            <v xml:space="preserve">m³    </v>
          </cell>
          <cell r="I2056">
            <v>5</v>
          </cell>
          <cell r="J2056">
            <v>25.56</v>
          </cell>
          <cell r="K2056">
            <v>26.63</v>
          </cell>
          <cell r="L2056">
            <v>127.8</v>
          </cell>
        </row>
        <row r="2057">
          <cell r="D2057" t="str">
            <v xml:space="preserve">  M. 10.            </v>
          </cell>
          <cell r="E2057" t="str">
            <v>CP1085</v>
          </cell>
          <cell r="F2057" t="str">
            <v>2.5.</v>
          </cell>
          <cell r="G2057" t="str">
            <v xml:space="preserve">Carga mecânica de material em caminhão basculante  </v>
          </cell>
          <cell r="H2057" t="str">
            <v xml:space="preserve">m³    </v>
          </cell>
          <cell r="I2057">
            <v>103</v>
          </cell>
          <cell r="J2057">
            <v>1.23</v>
          </cell>
          <cell r="K2057">
            <v>1.74</v>
          </cell>
          <cell r="L2057">
            <v>126.69</v>
          </cell>
        </row>
        <row r="2058">
          <cell r="D2058" t="str">
            <v xml:space="preserve">  M. 11.            </v>
          </cell>
          <cell r="E2058" t="str">
            <v>CP1070</v>
          </cell>
          <cell r="F2058" t="str">
            <v>2.6.</v>
          </cell>
          <cell r="G2058" t="str">
            <v xml:space="preserve">Transporte mecânico de material em caminhão basculante  </v>
          </cell>
          <cell r="H2058" t="str">
            <v xml:space="preserve">m³xkm </v>
          </cell>
          <cell r="I2058">
            <v>1030</v>
          </cell>
          <cell r="J2058">
            <v>2.38</v>
          </cell>
          <cell r="K2058">
            <v>2.35</v>
          </cell>
          <cell r="L2058">
            <v>2451.4</v>
          </cell>
        </row>
        <row r="2059">
          <cell r="D2059" t="str">
            <v xml:space="preserve">  M. 12.            </v>
          </cell>
          <cell r="E2059" t="str">
            <v xml:space="preserve">      </v>
          </cell>
          <cell r="F2059" t="str">
            <v>3.</v>
          </cell>
          <cell r="G2059" t="str">
            <v xml:space="preserve">Estruturas de Concreto (incluindo obras diversas)  </v>
          </cell>
          <cell r="H2059" t="str">
            <v xml:space="preserve">      </v>
          </cell>
          <cell r="I2059">
            <v>0</v>
          </cell>
          <cell r="J2059">
            <v>0</v>
          </cell>
          <cell r="K2059">
            <v>0</v>
          </cell>
          <cell r="L2059">
            <v>0</v>
          </cell>
        </row>
        <row r="2060">
          <cell r="D2060" t="str">
            <v xml:space="preserve">  M. 13.            </v>
          </cell>
          <cell r="E2060" t="str">
            <v xml:space="preserve">      </v>
          </cell>
          <cell r="F2060" t="str">
            <v>3.1.</v>
          </cell>
          <cell r="G2060" t="str">
            <v xml:space="preserve">Escavação e concretagem de tubulões mecanizados  </v>
          </cell>
          <cell r="H2060" t="str">
            <v xml:space="preserve">      </v>
          </cell>
          <cell r="I2060">
            <v>0</v>
          </cell>
          <cell r="J2060">
            <v>0</v>
          </cell>
          <cell r="K2060">
            <v>0</v>
          </cell>
          <cell r="L2060">
            <v>0</v>
          </cell>
        </row>
        <row r="2061">
          <cell r="D2061" t="str">
            <v xml:space="preserve">  M. 14.            </v>
          </cell>
          <cell r="E2061" t="str">
            <v>CP0088</v>
          </cell>
          <cell r="F2061" t="str">
            <v>3.1.1.</v>
          </cell>
          <cell r="G2061" t="str">
            <v xml:space="preserve">Escavação e concretagem de tubulões mecanizados D = 30 cm  </v>
          </cell>
          <cell r="H2061" t="str">
            <v xml:space="preserve">m     </v>
          </cell>
          <cell r="I2061">
            <v>68</v>
          </cell>
          <cell r="J2061">
            <v>80.77</v>
          </cell>
          <cell r="K2061">
            <v>81.42</v>
          </cell>
          <cell r="L2061">
            <v>5492.36</v>
          </cell>
        </row>
        <row r="2062">
          <cell r="D2062" t="str">
            <v xml:space="preserve">  M. 15.            </v>
          </cell>
          <cell r="E2062" t="str">
            <v>CP0083</v>
          </cell>
          <cell r="F2062" t="str">
            <v>3.1.1.1.</v>
          </cell>
          <cell r="G2062" t="str">
            <v xml:space="preserve">Escavação e concretagem de tubulões mecanizados D = 35 cm  </v>
          </cell>
          <cell r="H2062" t="str">
            <v xml:space="preserve">m     </v>
          </cell>
          <cell r="I2062">
            <v>29</v>
          </cell>
          <cell r="J2062">
            <v>96.36</v>
          </cell>
          <cell r="K2062">
            <v>92.04</v>
          </cell>
          <cell r="L2062">
            <v>2794.44</v>
          </cell>
        </row>
        <row r="2063">
          <cell r="D2063" t="str">
            <v xml:space="preserve">  M. 16.            </v>
          </cell>
          <cell r="E2063" t="str">
            <v>CP0061</v>
          </cell>
          <cell r="F2063" t="str">
            <v>3.2.</v>
          </cell>
          <cell r="G2063" t="str">
            <v xml:space="preserve">Formas planas para estruturas em chapa de madeira plastificada - 02 reaproveitamentos, inclusive desforma  </v>
          </cell>
          <cell r="H2063" t="str">
            <v xml:space="preserve">m²    </v>
          </cell>
          <cell r="I2063">
            <v>153</v>
          </cell>
          <cell r="J2063">
            <v>87.97</v>
          </cell>
          <cell r="K2063">
            <v>73.349999999999994</v>
          </cell>
          <cell r="L2063">
            <v>13459.41</v>
          </cell>
        </row>
        <row r="2064">
          <cell r="D2064" t="str">
            <v xml:space="preserve">  M. 17.            </v>
          </cell>
          <cell r="E2064" t="str">
            <v>CP1056</v>
          </cell>
          <cell r="F2064" t="str">
            <v>3.3.</v>
          </cell>
          <cell r="G2064" t="str">
            <v xml:space="preserve">Armadura de aço CA-50, com fornecimento do material Corte e dobra  </v>
          </cell>
          <cell r="H2064" t="str">
            <v xml:space="preserve">kg    </v>
          </cell>
          <cell r="I2064">
            <v>1230</v>
          </cell>
          <cell r="J2064">
            <v>6.9</v>
          </cell>
          <cell r="K2064">
            <v>5.78</v>
          </cell>
          <cell r="L2064">
            <v>8487</v>
          </cell>
        </row>
        <row r="2065">
          <cell r="D2065" t="str">
            <v xml:space="preserve">  M. 18.            </v>
          </cell>
          <cell r="E2065" t="str">
            <v>CP0098</v>
          </cell>
          <cell r="F2065" t="str">
            <v>3.4.</v>
          </cell>
          <cell r="G2065" t="str">
            <v xml:space="preserve">Fornecimento e lançamento de concreto usinado bombeado - Fck = 15 MPA  </v>
          </cell>
          <cell r="H2065" t="str">
            <v xml:space="preserve">m³    </v>
          </cell>
          <cell r="I2065">
            <v>15</v>
          </cell>
          <cell r="J2065">
            <v>338.63</v>
          </cell>
          <cell r="K2065">
            <v>282.86</v>
          </cell>
          <cell r="L2065">
            <v>5079.45</v>
          </cell>
        </row>
        <row r="2066">
          <cell r="D2066" t="str">
            <v xml:space="preserve">  M. 19.            </v>
          </cell>
          <cell r="E2066" t="str">
            <v>CP0052</v>
          </cell>
          <cell r="F2066" t="str">
            <v>3.5.</v>
          </cell>
          <cell r="G2066" t="str">
            <v xml:space="preserve">Preparo e lançamento de concreto simples mínimo de 150 kg cimento/m³  </v>
          </cell>
          <cell r="H2066" t="str">
            <v xml:space="preserve">m³    </v>
          </cell>
          <cell r="I2066">
            <v>2</v>
          </cell>
          <cell r="J2066">
            <v>284.95</v>
          </cell>
          <cell r="K2066">
            <v>237.1</v>
          </cell>
          <cell r="L2066">
            <v>569.9</v>
          </cell>
        </row>
        <row r="2067">
          <cell r="D2067" t="str">
            <v xml:space="preserve">  M. 20.            </v>
          </cell>
          <cell r="E2067" t="str">
            <v xml:space="preserve">      </v>
          </cell>
          <cell r="F2067" t="str">
            <v>4.</v>
          </cell>
          <cell r="G2067" t="str">
            <v xml:space="preserve">Obras Diversas  </v>
          </cell>
          <cell r="H2067" t="str">
            <v xml:space="preserve">      </v>
          </cell>
          <cell r="I2067">
            <v>0</v>
          </cell>
          <cell r="J2067">
            <v>0</v>
          </cell>
          <cell r="K2067">
            <v>0</v>
          </cell>
          <cell r="L2067">
            <v>0</v>
          </cell>
        </row>
        <row r="2068">
          <cell r="D2068" t="str">
            <v xml:space="preserve">  M. 21.            </v>
          </cell>
          <cell r="E2068" t="str">
            <v xml:space="preserve">      </v>
          </cell>
          <cell r="F2068" t="str">
            <v>4.1.</v>
          </cell>
          <cell r="G2068" t="str">
            <v xml:space="preserve">Alvenaria em blocos de concreto:  </v>
          </cell>
          <cell r="H2068" t="str">
            <v xml:space="preserve">      </v>
          </cell>
          <cell r="I2068">
            <v>0</v>
          </cell>
          <cell r="J2068">
            <v>0</v>
          </cell>
          <cell r="K2068">
            <v>0</v>
          </cell>
          <cell r="L2068">
            <v>0</v>
          </cell>
        </row>
        <row r="2069">
          <cell r="D2069" t="str">
            <v xml:space="preserve">  M. 22.            </v>
          </cell>
          <cell r="E2069" t="str">
            <v>CP0047</v>
          </cell>
          <cell r="F2069" t="str">
            <v>4.1.1.</v>
          </cell>
          <cell r="G2069" t="str">
            <v xml:space="preserve">Alvenaria em blocos de concreto: 40 x 20 x 20 e= 20 cm  </v>
          </cell>
          <cell r="H2069" t="str">
            <v xml:space="preserve">m²    </v>
          </cell>
          <cell r="I2069">
            <v>42</v>
          </cell>
          <cell r="J2069">
            <v>45.68</v>
          </cell>
          <cell r="K2069">
            <v>50.25</v>
          </cell>
          <cell r="L2069">
            <v>1918.56</v>
          </cell>
        </row>
        <row r="2070">
          <cell r="D2070" t="str">
            <v xml:space="preserve">  M. 23.            </v>
          </cell>
          <cell r="E2070" t="str">
            <v>CP0049</v>
          </cell>
          <cell r="F2070" t="str">
            <v>4.1.2.</v>
          </cell>
          <cell r="G2070" t="str">
            <v xml:space="preserve">Alvenaria em blocos de concreto: 40 x 20 x 10 e= 10 cm  </v>
          </cell>
          <cell r="H2070" t="str">
            <v xml:space="preserve">m²    </v>
          </cell>
          <cell r="I2070">
            <v>13</v>
          </cell>
          <cell r="J2070">
            <v>33.6</v>
          </cell>
          <cell r="K2070">
            <v>28.21</v>
          </cell>
          <cell r="L2070">
            <v>436.8</v>
          </cell>
        </row>
        <row r="2071">
          <cell r="D2071" t="str">
            <v xml:space="preserve">  M. 24.            </v>
          </cell>
          <cell r="E2071" t="str">
            <v>CP0205</v>
          </cell>
          <cell r="F2071" t="str">
            <v>4.2.</v>
          </cell>
          <cell r="G2071" t="str">
            <v xml:space="preserve">Chapisco com cimento AF-32 e areia traço 1:3  </v>
          </cell>
          <cell r="H2071" t="str">
            <v xml:space="preserve">m²    </v>
          </cell>
          <cell r="I2071">
            <v>133</v>
          </cell>
          <cell r="J2071">
            <v>3.1</v>
          </cell>
          <cell r="K2071">
            <v>3.58</v>
          </cell>
          <cell r="L2071">
            <v>412.3</v>
          </cell>
        </row>
        <row r="2072">
          <cell r="D2072" t="str">
            <v xml:space="preserve">  M. 25.            </v>
          </cell>
          <cell r="E2072" t="str">
            <v>CP0968</v>
          </cell>
          <cell r="F2072" t="str">
            <v>4.3.</v>
          </cell>
          <cell r="G2072" t="str">
            <v xml:space="preserve">Emboço com argamassa de cimento e saibro, traço 1:6  </v>
          </cell>
          <cell r="H2072" t="str">
            <v xml:space="preserve">m²    </v>
          </cell>
          <cell r="I2072">
            <v>133</v>
          </cell>
          <cell r="J2072">
            <v>11.33</v>
          </cell>
          <cell r="K2072">
            <v>16.16</v>
          </cell>
          <cell r="L2072">
            <v>1506.89</v>
          </cell>
        </row>
        <row r="2073">
          <cell r="D2073" t="str">
            <v xml:space="preserve">  M. 26.            </v>
          </cell>
          <cell r="E2073" t="str">
            <v>CP0959</v>
          </cell>
          <cell r="F2073" t="str">
            <v>4.4.</v>
          </cell>
          <cell r="G2073" t="str">
            <v xml:space="preserve">Emboço para azulejo  </v>
          </cell>
          <cell r="H2073" t="str">
            <v xml:space="preserve">m²    </v>
          </cell>
          <cell r="I2073">
            <v>18</v>
          </cell>
          <cell r="J2073">
            <v>11.96</v>
          </cell>
          <cell r="K2073">
            <v>17.09</v>
          </cell>
          <cell r="L2073">
            <v>215.28</v>
          </cell>
        </row>
        <row r="2074">
          <cell r="D2074" t="str">
            <v xml:space="preserve">  M. 27.            </v>
          </cell>
          <cell r="E2074" t="str">
            <v>CP0962</v>
          </cell>
          <cell r="F2074" t="str">
            <v>4.5.</v>
          </cell>
          <cell r="G2074" t="str">
            <v xml:space="preserve">Reboco paulista  </v>
          </cell>
          <cell r="H2074" t="str">
            <v xml:space="preserve">m²    </v>
          </cell>
          <cell r="I2074">
            <v>115</v>
          </cell>
          <cell r="J2074">
            <v>14.51</v>
          </cell>
          <cell r="K2074">
            <v>24.95</v>
          </cell>
          <cell r="L2074">
            <v>1668.65</v>
          </cell>
        </row>
        <row r="2075">
          <cell r="D2075" t="str">
            <v xml:space="preserve">  M. 28.            </v>
          </cell>
          <cell r="E2075" t="str">
            <v>CP0142</v>
          </cell>
          <cell r="F2075" t="str">
            <v>4.6.</v>
          </cell>
          <cell r="G2075" t="str">
            <v xml:space="preserve">Emassamento  </v>
          </cell>
          <cell r="H2075" t="str">
            <v xml:space="preserve">m²    </v>
          </cell>
          <cell r="I2075">
            <v>92</v>
          </cell>
          <cell r="J2075">
            <v>9.4700000000000006</v>
          </cell>
          <cell r="K2075">
            <v>7.92</v>
          </cell>
          <cell r="L2075">
            <v>871.24</v>
          </cell>
        </row>
        <row r="2076">
          <cell r="D2076" t="str">
            <v xml:space="preserve">  M. 29.            </v>
          </cell>
          <cell r="E2076" t="str">
            <v xml:space="preserve">      </v>
          </cell>
          <cell r="F2076" t="str">
            <v>4.7.</v>
          </cell>
          <cell r="G2076" t="str">
            <v xml:space="preserve">Pintura sem massa corrida:  </v>
          </cell>
          <cell r="H2076" t="str">
            <v xml:space="preserve">      </v>
          </cell>
          <cell r="I2076">
            <v>0</v>
          </cell>
          <cell r="J2076">
            <v>0</v>
          </cell>
          <cell r="K2076">
            <v>0</v>
          </cell>
          <cell r="L2076">
            <v>0</v>
          </cell>
        </row>
        <row r="2077">
          <cell r="D2077" t="str">
            <v xml:space="preserve">  M. 30.            </v>
          </cell>
          <cell r="E2077" t="str">
            <v>CP0259</v>
          </cell>
          <cell r="F2077" t="str">
            <v>4.7.1.</v>
          </cell>
          <cell r="G2077" t="str">
            <v xml:space="preserve">Pintura epoxi cor branco gelo (2 demãos)  </v>
          </cell>
          <cell r="H2077" t="str">
            <v xml:space="preserve">m²    </v>
          </cell>
          <cell r="I2077">
            <v>31</v>
          </cell>
          <cell r="J2077">
            <v>15.9</v>
          </cell>
          <cell r="K2077">
            <v>22.71</v>
          </cell>
          <cell r="L2077">
            <v>492.9</v>
          </cell>
        </row>
        <row r="2078">
          <cell r="D2078" t="str">
            <v xml:space="preserve">  M. 31.            </v>
          </cell>
          <cell r="E2078" t="str">
            <v>CP0227</v>
          </cell>
          <cell r="F2078" t="str">
            <v>4.7.2.</v>
          </cell>
          <cell r="G2078" t="str">
            <v xml:space="preserve">Revestimento Acril-color LT/ liso da face-color, ou similar, referência de tonalidade: 1226 P da CORAL ou similar  </v>
          </cell>
          <cell r="H2078" t="str">
            <v xml:space="preserve">m²    </v>
          </cell>
          <cell r="I2078">
            <v>42</v>
          </cell>
          <cell r="J2078">
            <v>9.35</v>
          </cell>
          <cell r="K2078">
            <v>15.34</v>
          </cell>
          <cell r="L2078">
            <v>392.7</v>
          </cell>
        </row>
        <row r="2079">
          <cell r="D2079" t="str">
            <v xml:space="preserve">  M. 32.            </v>
          </cell>
          <cell r="E2079" t="str">
            <v>CP0233</v>
          </cell>
          <cell r="F2079" t="str">
            <v>4.7.3.</v>
          </cell>
          <cell r="G2079" t="str">
            <v xml:space="preserve">Esmalte sintético acetinado cor branco oclo da CORAL ou similar (2 demãos)  </v>
          </cell>
          <cell r="H2079" t="str">
            <v xml:space="preserve">m²    </v>
          </cell>
          <cell r="I2079">
            <v>23</v>
          </cell>
          <cell r="J2079">
            <v>8.7899999999999991</v>
          </cell>
          <cell r="K2079">
            <v>12.55</v>
          </cell>
          <cell r="L2079">
            <v>202.17</v>
          </cell>
        </row>
        <row r="2080">
          <cell r="D2080" t="str">
            <v xml:space="preserve">  M. 33.            </v>
          </cell>
          <cell r="E2080" t="str">
            <v xml:space="preserve">      </v>
          </cell>
          <cell r="F2080" t="str">
            <v>4.8.</v>
          </cell>
          <cell r="G2080" t="str">
            <v xml:space="preserve">Revestimentos cerâmicos (paredes e pisos):  </v>
          </cell>
          <cell r="H2080" t="str">
            <v xml:space="preserve">      </v>
          </cell>
          <cell r="I2080">
            <v>0</v>
          </cell>
          <cell r="J2080">
            <v>0</v>
          </cell>
          <cell r="K2080">
            <v>0</v>
          </cell>
          <cell r="L2080">
            <v>0</v>
          </cell>
        </row>
        <row r="2081">
          <cell r="D2081" t="str">
            <v xml:space="preserve">  M. 34.            </v>
          </cell>
          <cell r="E2081" t="str">
            <v>CP0137</v>
          </cell>
          <cell r="F2081" t="str">
            <v>4.8.1.</v>
          </cell>
          <cell r="G2081" t="str">
            <v xml:space="preserve">Cerâmica lazer cinza (30 x 30) da PORTOBELLO ou similar  </v>
          </cell>
          <cell r="H2081" t="str">
            <v xml:space="preserve">m²    </v>
          </cell>
          <cell r="I2081">
            <v>23</v>
          </cell>
          <cell r="J2081">
            <v>65.16</v>
          </cell>
          <cell r="K2081">
            <v>62.05</v>
          </cell>
          <cell r="L2081">
            <v>1498.68</v>
          </cell>
        </row>
        <row r="2082">
          <cell r="D2082" t="str">
            <v xml:space="preserve">  M. 35.            </v>
          </cell>
          <cell r="E2082" t="str">
            <v>CP0130</v>
          </cell>
          <cell r="F2082" t="str">
            <v>4.8.2.</v>
          </cell>
          <cell r="G2082" t="str">
            <v xml:space="preserve">Cerâmica arquiteto alumínio (30 x 30) da PORTOBELLO  </v>
          </cell>
          <cell r="H2082" t="str">
            <v xml:space="preserve">m²    </v>
          </cell>
          <cell r="I2082">
            <v>16</v>
          </cell>
          <cell r="J2082">
            <v>47.04</v>
          </cell>
          <cell r="K2082">
            <v>51.84</v>
          </cell>
          <cell r="L2082">
            <v>752.64</v>
          </cell>
        </row>
        <row r="2083">
          <cell r="D2083" t="str">
            <v xml:space="preserve">  M. 36.            </v>
          </cell>
          <cell r="E2083" t="str">
            <v>CP0110</v>
          </cell>
          <cell r="F2083" t="str">
            <v>4.8.3.</v>
          </cell>
          <cell r="G2083" t="str">
            <v xml:space="preserve">Cerâmica arquiteto alumínio (10 x 10) da PORTOBELLO  </v>
          </cell>
          <cell r="H2083" t="str">
            <v xml:space="preserve">m²    </v>
          </cell>
          <cell r="I2083">
            <v>1</v>
          </cell>
          <cell r="J2083">
            <v>47.51</v>
          </cell>
          <cell r="K2083">
            <v>59.52</v>
          </cell>
          <cell r="L2083">
            <v>47.51</v>
          </cell>
        </row>
        <row r="2084">
          <cell r="D2084" t="str">
            <v xml:space="preserve">  M. 37.            </v>
          </cell>
          <cell r="E2084" t="str">
            <v>CP0214</v>
          </cell>
          <cell r="F2084" t="str">
            <v>4.8.4.</v>
          </cell>
          <cell r="G2084" t="str">
            <v xml:space="preserve">Cerâmica arquiteto preto (10 x 10) da PORTOBELLO ou similar  </v>
          </cell>
          <cell r="H2084" t="str">
            <v xml:space="preserve">m²    </v>
          </cell>
          <cell r="I2084">
            <v>1</v>
          </cell>
          <cell r="J2084">
            <v>54.76</v>
          </cell>
          <cell r="K2084">
            <v>61.43</v>
          </cell>
          <cell r="L2084">
            <v>54.76</v>
          </cell>
        </row>
        <row r="2085">
          <cell r="D2085" t="str">
            <v xml:space="preserve">  M. 38.            </v>
          </cell>
          <cell r="E2085" t="str">
            <v xml:space="preserve">      </v>
          </cell>
          <cell r="F2085" t="str">
            <v>4.9.</v>
          </cell>
          <cell r="G2085" t="str">
            <v xml:space="preserve">Esquadrias  </v>
          </cell>
          <cell r="H2085" t="str">
            <v xml:space="preserve">      </v>
          </cell>
          <cell r="I2085">
            <v>0</v>
          </cell>
          <cell r="J2085">
            <v>0</v>
          </cell>
          <cell r="K2085">
            <v>0</v>
          </cell>
          <cell r="L2085">
            <v>0</v>
          </cell>
        </row>
        <row r="2086">
          <cell r="D2086" t="str">
            <v xml:space="preserve">  M. 39.            </v>
          </cell>
          <cell r="E2086" t="str">
            <v>CP0111</v>
          </cell>
          <cell r="F2086" t="str">
            <v>4.9.1.</v>
          </cell>
          <cell r="G2086" t="str">
            <v xml:space="preserve">Esquadrias em alumínio anodizado preto, inclusive acessórios, conforme projeto  </v>
          </cell>
          <cell r="H2086" t="str">
            <v xml:space="preserve">m²    </v>
          </cell>
          <cell r="I2086">
            <v>18</v>
          </cell>
          <cell r="J2086">
            <v>507.53</v>
          </cell>
          <cell r="K2086">
            <v>425.6</v>
          </cell>
          <cell r="L2086">
            <v>9135.5400000000009</v>
          </cell>
        </row>
        <row r="2087">
          <cell r="D2087" t="str">
            <v xml:space="preserve">  M. 40.            </v>
          </cell>
          <cell r="E2087" t="str">
            <v xml:space="preserve">      </v>
          </cell>
          <cell r="F2087" t="str">
            <v>4.10.</v>
          </cell>
          <cell r="G2087" t="str">
            <v xml:space="preserve">Portas  </v>
          </cell>
          <cell r="H2087" t="str">
            <v xml:space="preserve">      </v>
          </cell>
          <cell r="I2087">
            <v>0</v>
          </cell>
          <cell r="J2087">
            <v>0</v>
          </cell>
          <cell r="K2087">
            <v>0</v>
          </cell>
          <cell r="L2087">
            <v>0</v>
          </cell>
        </row>
        <row r="2088">
          <cell r="D2088" t="str">
            <v xml:space="preserve">  M. 41.            </v>
          </cell>
          <cell r="E2088" t="str">
            <v>CP0255</v>
          </cell>
          <cell r="F2088" t="str">
            <v>4.10.1.</v>
          </cell>
          <cell r="G2088" t="str">
            <v xml:space="preserve">Portas prancheta 60 x 210, revestida com esmalte, inclusive marcos, alizares, ferragens  </v>
          </cell>
          <cell r="H2088" t="str">
            <v xml:space="preserve">un    </v>
          </cell>
          <cell r="I2088">
            <v>1</v>
          </cell>
          <cell r="J2088">
            <v>406.26</v>
          </cell>
          <cell r="K2088">
            <v>340.25</v>
          </cell>
          <cell r="L2088">
            <v>406.26</v>
          </cell>
        </row>
        <row r="2089">
          <cell r="D2089" t="str">
            <v xml:space="preserve">  M. 42.            </v>
          </cell>
          <cell r="E2089" t="str">
            <v>CP0321</v>
          </cell>
          <cell r="F2089" t="str">
            <v>4.10.2.</v>
          </cell>
          <cell r="G2089" t="str">
            <v xml:space="preserve">Portas prancheta 70 x 210, revestida com esmalte, inclusive marcos, alizares, ferragens  </v>
          </cell>
          <cell r="H2089" t="str">
            <v xml:space="preserve">un    </v>
          </cell>
          <cell r="I2089">
            <v>1</v>
          </cell>
          <cell r="J2089">
            <v>406.56</v>
          </cell>
          <cell r="K2089">
            <v>340.25</v>
          </cell>
          <cell r="L2089">
            <v>406.56</v>
          </cell>
        </row>
        <row r="2090">
          <cell r="D2090" t="str">
            <v xml:space="preserve">  M. 43.            </v>
          </cell>
          <cell r="E2090" t="str">
            <v xml:space="preserve">      </v>
          </cell>
          <cell r="F2090" t="str">
            <v>4.11.</v>
          </cell>
          <cell r="G2090" t="str">
            <v xml:space="preserve">Vidros  </v>
          </cell>
          <cell r="H2090" t="str">
            <v xml:space="preserve">      </v>
          </cell>
          <cell r="I2090">
            <v>0</v>
          </cell>
          <cell r="J2090">
            <v>0</v>
          </cell>
          <cell r="K2090">
            <v>0</v>
          </cell>
          <cell r="L2090">
            <v>0</v>
          </cell>
        </row>
        <row r="2091">
          <cell r="D2091" t="str">
            <v xml:space="preserve">  M. 44.            </v>
          </cell>
          <cell r="E2091" t="str">
            <v>CP0981</v>
          </cell>
          <cell r="F2091" t="str">
            <v>4.11.1.</v>
          </cell>
          <cell r="G2091" t="str">
            <v xml:space="preserve">Vidro transparente liso, e = 3 mm  </v>
          </cell>
          <cell r="H2091" t="str">
            <v xml:space="preserve">m2    </v>
          </cell>
          <cell r="I2091">
            <v>18</v>
          </cell>
          <cell r="J2091">
            <v>36.799999999999997</v>
          </cell>
          <cell r="K2091">
            <v>72.89</v>
          </cell>
          <cell r="L2091">
            <v>662.4</v>
          </cell>
        </row>
        <row r="2092">
          <cell r="D2092" t="str">
            <v xml:space="preserve">  M. 45.            </v>
          </cell>
          <cell r="E2092" t="str">
            <v xml:space="preserve">      </v>
          </cell>
          <cell r="F2092" t="str">
            <v>4.12.</v>
          </cell>
          <cell r="G2092" t="str">
            <v xml:space="preserve">Diversos  </v>
          </cell>
          <cell r="H2092" t="str">
            <v xml:space="preserve">      </v>
          </cell>
          <cell r="I2092">
            <v>0</v>
          </cell>
          <cell r="J2092">
            <v>0</v>
          </cell>
          <cell r="K2092">
            <v>0</v>
          </cell>
          <cell r="L2092">
            <v>0</v>
          </cell>
        </row>
        <row r="2093">
          <cell r="D2093" t="str">
            <v xml:space="preserve">  M. 46.            </v>
          </cell>
          <cell r="E2093" t="str">
            <v>CP0113</v>
          </cell>
          <cell r="F2093" t="str">
            <v>4.12.1.</v>
          </cell>
          <cell r="G2093" t="str">
            <v xml:space="preserve">Bancadas em granito, e = 3 cm  </v>
          </cell>
          <cell r="H2093" t="str">
            <v xml:space="preserve">m2    </v>
          </cell>
          <cell r="I2093">
            <v>8</v>
          </cell>
          <cell r="J2093">
            <v>241</v>
          </cell>
          <cell r="K2093">
            <v>275.2</v>
          </cell>
          <cell r="L2093">
            <v>1928</v>
          </cell>
        </row>
        <row r="2094">
          <cell r="D2094" t="str">
            <v xml:space="preserve">  M. 47.            </v>
          </cell>
          <cell r="E2094" t="str">
            <v xml:space="preserve">      </v>
          </cell>
          <cell r="F2094" t="str">
            <v>4.13.</v>
          </cell>
          <cell r="G2094" t="str">
            <v xml:space="preserve">Limpeza da obra:  </v>
          </cell>
          <cell r="H2094" t="str">
            <v xml:space="preserve">      </v>
          </cell>
          <cell r="I2094">
            <v>0</v>
          </cell>
          <cell r="J2094">
            <v>0</v>
          </cell>
          <cell r="K2094">
            <v>0</v>
          </cell>
          <cell r="L2094">
            <v>0</v>
          </cell>
        </row>
        <row r="2095">
          <cell r="D2095" t="str">
            <v xml:space="preserve">  M. 48.            </v>
          </cell>
          <cell r="E2095" t="str">
            <v xml:space="preserve">      </v>
          </cell>
          <cell r="F2095" t="str">
            <v>4.13.1.</v>
          </cell>
          <cell r="G2095" t="str">
            <v xml:space="preserve">Remoção de entulho, inclusive bota-fora em local apropriado:  </v>
          </cell>
          <cell r="H2095" t="str">
            <v xml:space="preserve">      </v>
          </cell>
          <cell r="I2095">
            <v>0</v>
          </cell>
          <cell r="J2095">
            <v>0</v>
          </cell>
          <cell r="K2095">
            <v>0</v>
          </cell>
          <cell r="L2095">
            <v>0</v>
          </cell>
        </row>
        <row r="2096">
          <cell r="D2096" t="str">
            <v xml:space="preserve">  M. 49.            </v>
          </cell>
          <cell r="E2096" t="str">
            <v>CP1085</v>
          </cell>
          <cell r="F2096" t="str">
            <v>4.13.1.1.</v>
          </cell>
          <cell r="G2096" t="str">
            <v xml:space="preserve">Carga mecânica em geral exceto rocha em caminhão basculante  </v>
          </cell>
          <cell r="H2096" t="str">
            <v xml:space="preserve">m3    </v>
          </cell>
          <cell r="I2096">
            <v>1</v>
          </cell>
          <cell r="J2096">
            <v>1.23</v>
          </cell>
          <cell r="K2096">
            <v>1.74</v>
          </cell>
          <cell r="L2096">
            <v>1.23</v>
          </cell>
        </row>
        <row r="2097">
          <cell r="D2097" t="str">
            <v xml:space="preserve">  M. 50.            </v>
          </cell>
          <cell r="E2097" t="str">
            <v>CP1070</v>
          </cell>
          <cell r="F2097" t="str">
            <v>4.13.1.2.</v>
          </cell>
          <cell r="G2097" t="str">
            <v xml:space="preserve">Transporte mecânico de material a granel em caminhão basculante  </v>
          </cell>
          <cell r="H2097" t="str">
            <v xml:space="preserve">m3xkm </v>
          </cell>
          <cell r="I2097">
            <v>9</v>
          </cell>
          <cell r="J2097">
            <v>2.38</v>
          </cell>
          <cell r="K2097">
            <v>2.35</v>
          </cell>
          <cell r="L2097">
            <v>21.42</v>
          </cell>
        </row>
        <row r="2098">
          <cell r="D2098" t="str">
            <v xml:space="preserve">  M. 51.            </v>
          </cell>
          <cell r="E2098" t="str">
            <v>CP0633</v>
          </cell>
          <cell r="F2098" t="str">
            <v>4.13.2.</v>
          </cell>
          <cell r="G2098" t="str">
            <v xml:space="preserve">Limpeza de vidros  </v>
          </cell>
          <cell r="H2098" t="str">
            <v xml:space="preserve">m2    </v>
          </cell>
          <cell r="I2098">
            <v>18</v>
          </cell>
          <cell r="J2098">
            <v>3.47</v>
          </cell>
          <cell r="K2098">
            <v>5.47</v>
          </cell>
          <cell r="L2098">
            <v>62.46</v>
          </cell>
        </row>
        <row r="2099">
          <cell r="D2099" t="str">
            <v xml:space="preserve">  M. 52.            </v>
          </cell>
          <cell r="E2099" t="str">
            <v>CP0640</v>
          </cell>
          <cell r="F2099" t="str">
            <v>4.13.3.</v>
          </cell>
          <cell r="G2099" t="str">
            <v xml:space="preserve">Limpeza de pisos e revestimentos  </v>
          </cell>
          <cell r="H2099" t="str">
            <v xml:space="preserve">m2    </v>
          </cell>
          <cell r="I2099">
            <v>41</v>
          </cell>
          <cell r="J2099">
            <v>3.47</v>
          </cell>
          <cell r="K2099">
            <v>4.82</v>
          </cell>
          <cell r="L2099">
            <v>142.27000000000001</v>
          </cell>
        </row>
        <row r="2100">
          <cell r="D2100" t="str">
            <v xml:space="preserve">  M. 53.            </v>
          </cell>
          <cell r="E2100" t="str">
            <v>CP0114</v>
          </cell>
          <cell r="F2100" t="str">
            <v>4.13.4.</v>
          </cell>
          <cell r="G2100" t="str">
            <v xml:space="preserve">Impermeabilização da laje de cobertura  </v>
          </cell>
          <cell r="H2100" t="str">
            <v xml:space="preserve">m2    </v>
          </cell>
          <cell r="I2100">
            <v>23</v>
          </cell>
          <cell r="J2100">
            <v>76.59</v>
          </cell>
          <cell r="K2100">
            <v>109.41</v>
          </cell>
          <cell r="L2100">
            <v>1761.57</v>
          </cell>
        </row>
        <row r="2101">
          <cell r="D2101" t="str">
            <v xml:space="preserve">  M. 54.            </v>
          </cell>
          <cell r="E2101" t="str">
            <v xml:space="preserve">      </v>
          </cell>
          <cell r="F2101" t="str">
            <v>5.</v>
          </cell>
          <cell r="G2101" t="str">
            <v xml:space="preserve">Instalações Hidráulico-Sanitárias  </v>
          </cell>
          <cell r="H2101" t="str">
            <v xml:space="preserve">      </v>
          </cell>
          <cell r="I2101">
            <v>0</v>
          </cell>
          <cell r="J2101">
            <v>0</v>
          </cell>
          <cell r="K2101">
            <v>0</v>
          </cell>
          <cell r="L2101">
            <v>0</v>
          </cell>
        </row>
        <row r="2102">
          <cell r="D2102" t="str">
            <v xml:space="preserve">  M. 55.            </v>
          </cell>
          <cell r="E2102" t="str">
            <v xml:space="preserve">      </v>
          </cell>
          <cell r="F2102" t="str">
            <v>5.1.</v>
          </cell>
          <cell r="G2102" t="str">
            <v xml:space="preserve">Fornecimento de Tubos, Peças, Conexões e Aparelhos Hidráulicos  </v>
          </cell>
          <cell r="H2102" t="str">
            <v xml:space="preserve">      </v>
          </cell>
          <cell r="I2102">
            <v>0</v>
          </cell>
          <cell r="J2102">
            <v>0</v>
          </cell>
          <cell r="K2102">
            <v>0</v>
          </cell>
          <cell r="L2102">
            <v>0</v>
          </cell>
        </row>
        <row r="2103">
          <cell r="D2103" t="str">
            <v xml:space="preserve">  M. 56.            </v>
          </cell>
          <cell r="E2103" t="str">
            <v xml:space="preserve">      </v>
          </cell>
          <cell r="F2103" t="str">
            <v>5.1.1.</v>
          </cell>
          <cell r="G2103" t="str">
            <v xml:space="preserve">PVC - ESGOTO  </v>
          </cell>
          <cell r="H2103" t="str">
            <v xml:space="preserve">      </v>
          </cell>
          <cell r="I2103">
            <v>0</v>
          </cell>
          <cell r="J2103">
            <v>0</v>
          </cell>
          <cell r="K2103">
            <v>0</v>
          </cell>
          <cell r="L2103">
            <v>0</v>
          </cell>
        </row>
        <row r="2104">
          <cell r="D2104" t="str">
            <v xml:space="preserve">  M. 57.            </v>
          </cell>
          <cell r="E2104" t="str">
            <v xml:space="preserve">      </v>
          </cell>
          <cell r="F2104" t="str">
            <v>5.1.1.1.</v>
          </cell>
          <cell r="G2104" t="str">
            <v xml:space="preserve">Tubo de PVC branco para esgoto  </v>
          </cell>
          <cell r="H2104" t="str">
            <v xml:space="preserve">      </v>
          </cell>
          <cell r="I2104">
            <v>0</v>
          </cell>
          <cell r="J2104">
            <v>0</v>
          </cell>
          <cell r="K2104">
            <v>0</v>
          </cell>
          <cell r="L2104">
            <v>0</v>
          </cell>
        </row>
        <row r="2105">
          <cell r="D2105" t="str">
            <v xml:space="preserve">  M. 58.            </v>
          </cell>
          <cell r="E2105" t="str">
            <v>CP0665</v>
          </cell>
          <cell r="F2105" t="str">
            <v>5.1.1.1.3</v>
          </cell>
          <cell r="G2105" t="str">
            <v xml:space="preserve">Tubo de PVC branco para esgoto DN 100  </v>
          </cell>
          <cell r="H2105" t="str">
            <v xml:space="preserve">m     </v>
          </cell>
          <cell r="I2105">
            <v>6</v>
          </cell>
          <cell r="J2105">
            <v>7.77</v>
          </cell>
          <cell r="K2105">
            <v>6.48</v>
          </cell>
          <cell r="L2105">
            <v>46.62</v>
          </cell>
        </row>
        <row r="2106">
          <cell r="D2106" t="str">
            <v xml:space="preserve">  M. 59.            </v>
          </cell>
          <cell r="E2106" t="str">
            <v>CP0671</v>
          </cell>
          <cell r="F2106" t="str">
            <v>5.1.1.1.4</v>
          </cell>
          <cell r="G2106" t="str">
            <v xml:space="preserve">Tubo de PVC branco para esgoto DN 75  </v>
          </cell>
          <cell r="H2106" t="str">
            <v xml:space="preserve">m     </v>
          </cell>
          <cell r="I2106">
            <v>12</v>
          </cell>
          <cell r="J2106">
            <v>5.46</v>
          </cell>
          <cell r="K2106">
            <v>4.57</v>
          </cell>
          <cell r="L2106">
            <v>65.52</v>
          </cell>
        </row>
        <row r="2107">
          <cell r="D2107" t="str">
            <v xml:space="preserve">  M. 60.            </v>
          </cell>
          <cell r="E2107" t="str">
            <v>CP0674</v>
          </cell>
          <cell r="F2107" t="str">
            <v>5.1.1.1.5</v>
          </cell>
          <cell r="G2107" t="str">
            <v xml:space="preserve">Tubo de PVC branco para esgoto DN 50  </v>
          </cell>
          <cell r="H2107" t="str">
            <v xml:space="preserve">m     </v>
          </cell>
          <cell r="I2107">
            <v>12</v>
          </cell>
          <cell r="J2107">
            <v>3.36</v>
          </cell>
          <cell r="K2107">
            <v>2.82</v>
          </cell>
          <cell r="L2107">
            <v>40.32</v>
          </cell>
        </row>
        <row r="2108">
          <cell r="D2108" t="str">
            <v xml:space="preserve">  M. 61.            </v>
          </cell>
          <cell r="E2108" t="str">
            <v>CP0678</v>
          </cell>
          <cell r="F2108" t="str">
            <v>5.1.1.1.6</v>
          </cell>
          <cell r="G2108" t="str">
            <v xml:space="preserve">Tubo de PVC branco para esgoto DN 40  </v>
          </cell>
          <cell r="H2108" t="str">
            <v xml:space="preserve">m     </v>
          </cell>
          <cell r="I2108">
            <v>3</v>
          </cell>
          <cell r="J2108">
            <v>2.13</v>
          </cell>
          <cell r="K2108">
            <v>1.78</v>
          </cell>
          <cell r="L2108">
            <v>6.39</v>
          </cell>
        </row>
        <row r="2109">
          <cell r="D2109" t="str">
            <v xml:space="preserve">  M. 62.            </v>
          </cell>
          <cell r="E2109" t="str">
            <v xml:space="preserve">      </v>
          </cell>
          <cell r="F2109" t="str">
            <v>5.1.1.2.</v>
          </cell>
          <cell r="G2109" t="str">
            <v xml:space="preserve">Joelho PVC branco para esgoto  </v>
          </cell>
          <cell r="H2109" t="str">
            <v xml:space="preserve">      </v>
          </cell>
          <cell r="I2109">
            <v>0</v>
          </cell>
          <cell r="J2109">
            <v>0</v>
          </cell>
          <cell r="K2109">
            <v>0</v>
          </cell>
          <cell r="L2109">
            <v>0</v>
          </cell>
        </row>
        <row r="2110">
          <cell r="D2110" t="str">
            <v xml:space="preserve">  M. 63.            </v>
          </cell>
          <cell r="E2110" t="str">
            <v>CP0648</v>
          </cell>
          <cell r="F2110" t="str">
            <v>5.1.1.2.1</v>
          </cell>
          <cell r="G2110" t="str">
            <v xml:space="preserve">Joelho PVC branco para esgoto DN 100  </v>
          </cell>
          <cell r="H2110" t="str">
            <v xml:space="preserve">pç    </v>
          </cell>
          <cell r="I2110">
            <v>1</v>
          </cell>
          <cell r="J2110">
            <v>4.3499999999999996</v>
          </cell>
          <cell r="K2110">
            <v>3.64</v>
          </cell>
          <cell r="L2110">
            <v>4.3499999999999996</v>
          </cell>
        </row>
        <row r="2111">
          <cell r="D2111" t="str">
            <v xml:space="preserve">  M. 64.            </v>
          </cell>
          <cell r="E2111" t="str">
            <v>CP0653</v>
          </cell>
          <cell r="F2111" t="str">
            <v>5.1.1.2.2</v>
          </cell>
          <cell r="G2111" t="str">
            <v xml:space="preserve">Joelho PVC branco para esgoto DN 75  </v>
          </cell>
          <cell r="H2111" t="str">
            <v xml:space="preserve">pç    </v>
          </cell>
          <cell r="I2111">
            <v>4</v>
          </cell>
          <cell r="J2111">
            <v>1.36</v>
          </cell>
          <cell r="K2111">
            <v>1.1299999999999999</v>
          </cell>
          <cell r="L2111">
            <v>5.44</v>
          </cell>
        </row>
        <row r="2112">
          <cell r="D2112" t="str">
            <v xml:space="preserve">  M. 65.            </v>
          </cell>
          <cell r="E2112" t="str">
            <v>CP0659</v>
          </cell>
          <cell r="F2112" t="str">
            <v>5.1.1.2.3</v>
          </cell>
          <cell r="G2112" t="str">
            <v xml:space="preserve">Joelho PVC branco para esgoto DN 40  </v>
          </cell>
          <cell r="H2112" t="str">
            <v xml:space="preserve">pç    </v>
          </cell>
          <cell r="I2112">
            <v>1</v>
          </cell>
          <cell r="J2112">
            <v>1.03</v>
          </cell>
          <cell r="K2112">
            <v>1.06</v>
          </cell>
          <cell r="L2112">
            <v>1.03</v>
          </cell>
        </row>
        <row r="2113">
          <cell r="D2113" t="str">
            <v xml:space="preserve">  M. 66.            </v>
          </cell>
          <cell r="E2113" t="str">
            <v xml:space="preserve">      </v>
          </cell>
          <cell r="F2113" t="str">
            <v>5.1.1.3.</v>
          </cell>
          <cell r="G2113" t="str">
            <v xml:space="preserve">PCV - ESGOTO Joelho 45o  </v>
          </cell>
          <cell r="H2113" t="str">
            <v xml:space="preserve">      </v>
          </cell>
          <cell r="I2113">
            <v>0</v>
          </cell>
          <cell r="J2113">
            <v>0</v>
          </cell>
          <cell r="K2113">
            <v>0</v>
          </cell>
          <cell r="L2113">
            <v>0</v>
          </cell>
        </row>
        <row r="2114">
          <cell r="D2114" t="str">
            <v xml:space="preserve">  M. 67.            </v>
          </cell>
          <cell r="E2114" t="str">
            <v>CP2308</v>
          </cell>
          <cell r="F2114" t="str">
            <v>5.1.1.3.1</v>
          </cell>
          <cell r="G2114" t="str">
            <v xml:space="preserve">PCV - ESGOTO Joelho 45o DN 40  </v>
          </cell>
          <cell r="H2114" t="str">
            <v xml:space="preserve">pç    </v>
          </cell>
          <cell r="I2114">
            <v>1</v>
          </cell>
          <cell r="J2114">
            <v>1.39</v>
          </cell>
          <cell r="K2114">
            <v>1.99</v>
          </cell>
          <cell r="L2114">
            <v>1.39</v>
          </cell>
        </row>
        <row r="2115">
          <cell r="D2115" t="str">
            <v xml:space="preserve">  M. 68.            </v>
          </cell>
          <cell r="E2115" t="str">
            <v>CP2254</v>
          </cell>
          <cell r="F2115" t="str">
            <v>5.1.1.3.2</v>
          </cell>
          <cell r="G2115" t="str">
            <v xml:space="preserve">PCV - ESGOTO Joelho 45o DN 40 com bolsa para anel  </v>
          </cell>
          <cell r="H2115" t="str">
            <v xml:space="preserve">pç    </v>
          </cell>
          <cell r="I2115">
            <v>1</v>
          </cell>
          <cell r="J2115">
            <v>1.41</v>
          </cell>
          <cell r="K2115">
            <v>1.9</v>
          </cell>
          <cell r="L2115">
            <v>1.41</v>
          </cell>
        </row>
        <row r="2116">
          <cell r="D2116" t="str">
            <v xml:space="preserve">  M. 69.            </v>
          </cell>
          <cell r="E2116" t="str">
            <v xml:space="preserve">      </v>
          </cell>
          <cell r="F2116" t="str">
            <v>5.1.1.4.</v>
          </cell>
          <cell r="G2116" t="str">
            <v xml:space="preserve">PVC - ESGOTO Tê sanitário  </v>
          </cell>
          <cell r="H2116" t="str">
            <v xml:space="preserve">      </v>
          </cell>
          <cell r="I2116">
            <v>0</v>
          </cell>
          <cell r="J2116">
            <v>0</v>
          </cell>
          <cell r="K2116">
            <v>0</v>
          </cell>
          <cell r="L2116">
            <v>0</v>
          </cell>
        </row>
        <row r="2117">
          <cell r="D2117" t="str">
            <v xml:space="preserve">  M. 70.            </v>
          </cell>
          <cell r="E2117" t="str">
            <v>CP2237</v>
          </cell>
          <cell r="F2117" t="str">
            <v>5.1.1.4.1</v>
          </cell>
          <cell r="G2117" t="str">
            <v xml:space="preserve">PVC - ESGOTO Tê sanitário DN 50 x 50  </v>
          </cell>
          <cell r="H2117" t="str">
            <v xml:space="preserve">pç    </v>
          </cell>
          <cell r="I2117">
            <v>1</v>
          </cell>
          <cell r="J2117">
            <v>3.52</v>
          </cell>
          <cell r="K2117">
            <v>2.95</v>
          </cell>
          <cell r="L2117">
            <v>3.52</v>
          </cell>
        </row>
        <row r="2118">
          <cell r="D2118" t="str">
            <v xml:space="preserve">  M. 71.            </v>
          </cell>
          <cell r="E2118" t="str">
            <v xml:space="preserve">      </v>
          </cell>
          <cell r="F2118" t="str">
            <v>5.1.1.5.</v>
          </cell>
          <cell r="G2118" t="str">
            <v xml:space="preserve">PVC - ESGOTO Terminal de ventilação:  </v>
          </cell>
          <cell r="H2118" t="str">
            <v xml:space="preserve">      </v>
          </cell>
          <cell r="I2118">
            <v>0</v>
          </cell>
          <cell r="J2118">
            <v>0</v>
          </cell>
          <cell r="K2118">
            <v>0</v>
          </cell>
          <cell r="L2118">
            <v>0</v>
          </cell>
        </row>
        <row r="2119">
          <cell r="D2119" t="str">
            <v xml:space="preserve">  M. 72.            </v>
          </cell>
          <cell r="E2119" t="str">
            <v>CP2152</v>
          </cell>
          <cell r="F2119" t="str">
            <v>5.1.1.5.1</v>
          </cell>
          <cell r="G2119" t="str">
            <v xml:space="preserve">PVC - ESGOTO Terminal de ventilação: DN 50  </v>
          </cell>
          <cell r="H2119" t="str">
            <v xml:space="preserve">pç    </v>
          </cell>
          <cell r="I2119">
            <v>1</v>
          </cell>
          <cell r="J2119">
            <v>3.64</v>
          </cell>
          <cell r="K2119">
            <v>4.0199999999999996</v>
          </cell>
          <cell r="L2119">
            <v>3.64</v>
          </cell>
        </row>
        <row r="2120">
          <cell r="D2120" t="str">
            <v xml:space="preserve">  M. 73.            </v>
          </cell>
          <cell r="E2120" t="str">
            <v>CP1991</v>
          </cell>
          <cell r="F2120" t="str">
            <v>5.1.1.6.</v>
          </cell>
          <cell r="G2120" t="str">
            <v xml:space="preserve">Vedação para saída de vaso sanitário  </v>
          </cell>
          <cell r="H2120" t="str">
            <v xml:space="preserve">pç    </v>
          </cell>
          <cell r="I2120">
            <v>1</v>
          </cell>
          <cell r="J2120">
            <v>2.6</v>
          </cell>
          <cell r="K2120">
            <v>2.17</v>
          </cell>
          <cell r="L2120">
            <v>2.6</v>
          </cell>
        </row>
        <row r="2121">
          <cell r="D2121" t="str">
            <v xml:space="preserve">  M. 74.            </v>
          </cell>
          <cell r="E2121" t="str">
            <v xml:space="preserve">      </v>
          </cell>
          <cell r="F2121" t="str">
            <v>5.1.1.7.</v>
          </cell>
          <cell r="G2121" t="str">
            <v xml:space="preserve">Caixa sifonada, com grelha cromada, completa:  </v>
          </cell>
          <cell r="H2121" t="str">
            <v xml:space="preserve">      </v>
          </cell>
          <cell r="I2121">
            <v>0</v>
          </cell>
          <cell r="J2121">
            <v>0</v>
          </cell>
          <cell r="K2121">
            <v>0</v>
          </cell>
          <cell r="L2121">
            <v>0</v>
          </cell>
        </row>
        <row r="2122">
          <cell r="D2122" t="str">
            <v xml:space="preserve">  M. 75.            </v>
          </cell>
          <cell r="E2122" t="str">
            <v>CP2067</v>
          </cell>
          <cell r="F2122" t="str">
            <v>5.1.1.7.1</v>
          </cell>
          <cell r="G2122" t="str">
            <v xml:space="preserve">Caixa sifonada, com grelha cromada, completa: 100 x 100 x 50  </v>
          </cell>
          <cell r="H2122" t="str">
            <v xml:space="preserve">pç    </v>
          </cell>
          <cell r="I2122">
            <v>1</v>
          </cell>
          <cell r="J2122">
            <v>13.44</v>
          </cell>
          <cell r="K2122">
            <v>19.2</v>
          </cell>
          <cell r="L2122">
            <v>13.44</v>
          </cell>
        </row>
        <row r="2123">
          <cell r="D2123" t="str">
            <v xml:space="preserve">  M. 76.            </v>
          </cell>
          <cell r="E2123" t="str">
            <v xml:space="preserve">      </v>
          </cell>
          <cell r="F2123" t="str">
            <v>5.1.2.</v>
          </cell>
          <cell r="G2123" t="str">
            <v xml:space="preserve">Fornecimento de Tubos, Peças, Conexões e Aparelhos Hidráulicos PVC ÁGUA FRIA  </v>
          </cell>
          <cell r="H2123" t="str">
            <v xml:space="preserve">      </v>
          </cell>
          <cell r="I2123">
            <v>0</v>
          </cell>
          <cell r="J2123">
            <v>0</v>
          </cell>
          <cell r="K2123">
            <v>0</v>
          </cell>
          <cell r="L2123">
            <v>0</v>
          </cell>
        </row>
        <row r="2124">
          <cell r="D2124" t="str">
            <v xml:space="preserve">  M. 77.            </v>
          </cell>
          <cell r="E2124" t="str">
            <v xml:space="preserve">      </v>
          </cell>
          <cell r="F2124" t="str">
            <v>5.1.2.1.</v>
          </cell>
          <cell r="G2124" t="str">
            <v xml:space="preserve">Tubo de PVC soldável:  </v>
          </cell>
          <cell r="H2124" t="str">
            <v xml:space="preserve">      </v>
          </cell>
          <cell r="I2124">
            <v>0</v>
          </cell>
          <cell r="J2124">
            <v>0</v>
          </cell>
          <cell r="K2124">
            <v>0</v>
          </cell>
          <cell r="L2124">
            <v>0</v>
          </cell>
        </row>
        <row r="2125">
          <cell r="D2125" t="str">
            <v xml:space="preserve">  M. 78.            </v>
          </cell>
          <cell r="E2125" t="str">
            <v>CP0901</v>
          </cell>
          <cell r="F2125" t="str">
            <v>5.1.2.1.1</v>
          </cell>
          <cell r="G2125" t="str">
            <v xml:space="preserve">Tubo de PVC soldável: DN 20  </v>
          </cell>
          <cell r="H2125" t="str">
            <v xml:space="preserve">m     </v>
          </cell>
          <cell r="I2125">
            <v>12</v>
          </cell>
          <cell r="J2125">
            <v>1.19</v>
          </cell>
          <cell r="K2125">
            <v>1</v>
          </cell>
          <cell r="L2125">
            <v>14.28</v>
          </cell>
        </row>
        <row r="2126">
          <cell r="D2126" t="str">
            <v xml:space="preserve">  M. 79.            </v>
          </cell>
          <cell r="E2126" t="str">
            <v>CP0881</v>
          </cell>
          <cell r="F2126" t="str">
            <v>5.1.2.1.2</v>
          </cell>
          <cell r="G2126" t="str">
            <v xml:space="preserve">Tubo de PVC soldável: DN 50  </v>
          </cell>
          <cell r="H2126" t="str">
            <v xml:space="preserve">m     </v>
          </cell>
          <cell r="I2126">
            <v>4</v>
          </cell>
          <cell r="J2126">
            <v>6.02</v>
          </cell>
          <cell r="K2126">
            <v>5.04</v>
          </cell>
          <cell r="L2126">
            <v>24.08</v>
          </cell>
        </row>
        <row r="2127">
          <cell r="D2127" t="str">
            <v xml:space="preserve">  M. 80.            </v>
          </cell>
          <cell r="E2127" t="str">
            <v xml:space="preserve">      </v>
          </cell>
          <cell r="F2127" t="str">
            <v>5.1.2.2.</v>
          </cell>
          <cell r="G2127" t="str">
            <v xml:space="preserve">Adaptador soldável curto, com bolsa e rosca para registro:  </v>
          </cell>
          <cell r="H2127" t="str">
            <v xml:space="preserve">      </v>
          </cell>
          <cell r="I2127">
            <v>0</v>
          </cell>
          <cell r="J2127">
            <v>0</v>
          </cell>
          <cell r="K2127">
            <v>0</v>
          </cell>
          <cell r="L2127">
            <v>0</v>
          </cell>
        </row>
        <row r="2128">
          <cell r="D2128" t="str">
            <v xml:space="preserve">  M. 81.            </v>
          </cell>
          <cell r="E2128" t="str">
            <v>CP0860</v>
          </cell>
          <cell r="F2128" t="str">
            <v>5.1.2.2.1</v>
          </cell>
          <cell r="G2128" t="str">
            <v xml:space="preserve">Adaptador soldável curto, com bolsa e rosca para registro: DN 50 x 1 1/2  </v>
          </cell>
          <cell r="H2128" t="str">
            <v xml:space="preserve">pç    </v>
          </cell>
          <cell r="I2128">
            <v>2</v>
          </cell>
          <cell r="J2128">
            <v>0.8</v>
          </cell>
          <cell r="K2128">
            <v>0.67</v>
          </cell>
          <cell r="L2128">
            <v>1.6</v>
          </cell>
        </row>
        <row r="2129">
          <cell r="D2129" t="str">
            <v xml:space="preserve">  M. 82.            </v>
          </cell>
          <cell r="E2129" t="str">
            <v xml:space="preserve">      </v>
          </cell>
          <cell r="F2129" t="str">
            <v>5.1.2.3.</v>
          </cell>
          <cell r="G2129" t="str">
            <v xml:space="preserve">Adaptador soldável, com flanges livres para caixa dágua:  </v>
          </cell>
          <cell r="H2129" t="str">
            <v xml:space="preserve">      </v>
          </cell>
          <cell r="I2129">
            <v>0</v>
          </cell>
          <cell r="J2129">
            <v>0</v>
          </cell>
          <cell r="K2129">
            <v>0</v>
          </cell>
          <cell r="L2129">
            <v>0</v>
          </cell>
        </row>
        <row r="2130">
          <cell r="D2130" t="str">
            <v xml:space="preserve">  M. 83.            </v>
          </cell>
          <cell r="E2130" t="str">
            <v>CP2030</v>
          </cell>
          <cell r="F2130" t="str">
            <v>5.1.2.3.1</v>
          </cell>
          <cell r="G2130" t="str">
            <v xml:space="preserve">Adaptador soldável, com flanges livres para caixa dágua: DN 50 x 1 1/2  </v>
          </cell>
          <cell r="H2130" t="str">
            <v xml:space="preserve">pç    </v>
          </cell>
          <cell r="I2130">
            <v>1</v>
          </cell>
          <cell r="J2130">
            <v>20.440000000000001</v>
          </cell>
          <cell r="K2130">
            <v>19.36</v>
          </cell>
          <cell r="L2130">
            <v>20.440000000000001</v>
          </cell>
        </row>
        <row r="2131">
          <cell r="D2131" t="str">
            <v xml:space="preserve">  M. 84.            </v>
          </cell>
          <cell r="E2131" t="str">
            <v>CP2178</v>
          </cell>
          <cell r="F2131" t="str">
            <v>5.1.2.3.2</v>
          </cell>
          <cell r="G2131" t="str">
            <v xml:space="preserve">Adaptador soldável, com flanges livres para caixa dágua: DN 20 x 1/2  </v>
          </cell>
          <cell r="H2131" t="str">
            <v xml:space="preserve">pç    </v>
          </cell>
          <cell r="I2131">
            <v>1</v>
          </cell>
          <cell r="J2131">
            <v>7.1</v>
          </cell>
          <cell r="K2131">
            <v>6.79</v>
          </cell>
          <cell r="L2131">
            <v>7.1</v>
          </cell>
        </row>
        <row r="2132">
          <cell r="D2132" t="str">
            <v xml:space="preserve">  M. 85.            </v>
          </cell>
          <cell r="E2132" t="str">
            <v xml:space="preserve">      </v>
          </cell>
          <cell r="F2132" t="str">
            <v>5.1.2.4.</v>
          </cell>
          <cell r="G2132" t="str">
            <v xml:space="preserve">PVC ÁGUA FRIA Bucha de redução soldável curta:  </v>
          </cell>
          <cell r="H2132" t="str">
            <v xml:space="preserve">      </v>
          </cell>
          <cell r="I2132">
            <v>0</v>
          </cell>
          <cell r="J2132">
            <v>0</v>
          </cell>
          <cell r="K2132">
            <v>0</v>
          </cell>
          <cell r="L2132">
            <v>0</v>
          </cell>
        </row>
        <row r="2133">
          <cell r="D2133" t="str">
            <v xml:space="preserve">  M. 86.            </v>
          </cell>
          <cell r="E2133" t="str">
            <v>CP0856</v>
          </cell>
          <cell r="F2133" t="str">
            <v>5.1.2.4.1</v>
          </cell>
          <cell r="G2133" t="str">
            <v xml:space="preserve">PVC ÁGUA FRIA Bucha de redução soldável curta: DN 25 x 20  </v>
          </cell>
          <cell r="H2133" t="str">
            <v xml:space="preserve">pç    </v>
          </cell>
          <cell r="I2133">
            <v>1</v>
          </cell>
          <cell r="J2133">
            <v>0.21</v>
          </cell>
          <cell r="K2133">
            <v>0.18</v>
          </cell>
          <cell r="L2133">
            <v>0.21</v>
          </cell>
        </row>
        <row r="2134">
          <cell r="D2134" t="str">
            <v xml:space="preserve">  M. 87.            </v>
          </cell>
          <cell r="E2134" t="str">
            <v xml:space="preserve">      </v>
          </cell>
          <cell r="F2134" t="str">
            <v>5.1.2.5.</v>
          </cell>
          <cell r="G2134" t="str">
            <v xml:space="preserve">PVC ÁGUA FRIA Joelho 90o soldável:  </v>
          </cell>
          <cell r="H2134" t="str">
            <v xml:space="preserve">      </v>
          </cell>
          <cell r="I2134">
            <v>0</v>
          </cell>
          <cell r="J2134">
            <v>0</v>
          </cell>
          <cell r="K2134">
            <v>0</v>
          </cell>
          <cell r="L2134">
            <v>0</v>
          </cell>
        </row>
        <row r="2135">
          <cell r="D2135" t="str">
            <v xml:space="preserve">  M. 88.            </v>
          </cell>
          <cell r="E2135" t="str">
            <v>CP0832</v>
          </cell>
          <cell r="F2135" t="str">
            <v>5.1.2.5.1</v>
          </cell>
          <cell r="G2135" t="str">
            <v xml:space="preserve">PVC ÁGUA FRIA Joelho 90o soldável: DN 50  </v>
          </cell>
          <cell r="H2135" t="str">
            <v xml:space="preserve">pç    </v>
          </cell>
          <cell r="I2135">
            <v>1</v>
          </cell>
          <cell r="J2135">
            <v>2.97</v>
          </cell>
          <cell r="K2135">
            <v>2.48</v>
          </cell>
          <cell r="L2135">
            <v>2.97</v>
          </cell>
        </row>
        <row r="2136">
          <cell r="D2136" t="str">
            <v xml:space="preserve">  M. 89.            </v>
          </cell>
          <cell r="E2136" t="str">
            <v>CP0849</v>
          </cell>
          <cell r="F2136" t="str">
            <v>5.1.2.5.2</v>
          </cell>
          <cell r="G2136" t="str">
            <v xml:space="preserve">PVC ÁGUA FRIA Joelho 90o soldável: DN 20  </v>
          </cell>
          <cell r="H2136" t="str">
            <v xml:space="preserve">pç    </v>
          </cell>
          <cell r="I2136">
            <v>4</v>
          </cell>
          <cell r="J2136">
            <v>0.28000000000000003</v>
          </cell>
          <cell r="K2136">
            <v>0.24</v>
          </cell>
          <cell r="L2136">
            <v>1.1200000000000001</v>
          </cell>
        </row>
        <row r="2137">
          <cell r="D2137" t="str">
            <v xml:space="preserve">  M. 90.            </v>
          </cell>
          <cell r="E2137" t="str">
            <v xml:space="preserve">      </v>
          </cell>
          <cell r="F2137" t="str">
            <v>5.1.2.6.</v>
          </cell>
          <cell r="G2137" t="str">
            <v xml:space="preserve">PVC ÁGUA FRIA Joelho 90o soldável com bucha de latão:  </v>
          </cell>
          <cell r="H2137" t="str">
            <v xml:space="preserve">      </v>
          </cell>
          <cell r="I2137">
            <v>0</v>
          </cell>
          <cell r="J2137">
            <v>0</v>
          </cell>
          <cell r="K2137">
            <v>0</v>
          </cell>
          <cell r="L2137">
            <v>0</v>
          </cell>
        </row>
        <row r="2138">
          <cell r="D2138" t="str">
            <v xml:space="preserve">  M. 91.            </v>
          </cell>
          <cell r="E2138" t="str">
            <v>CP2221</v>
          </cell>
          <cell r="F2138" t="str">
            <v>5.1.2.6.1</v>
          </cell>
          <cell r="G2138" t="str">
            <v xml:space="preserve">PVC ÁGUA FRIA Joelho 90o soldável com bucha de latão: DN 20 x 1/2  </v>
          </cell>
          <cell r="H2138" t="str">
            <v xml:space="preserve">pç    </v>
          </cell>
          <cell r="I2138">
            <v>2</v>
          </cell>
          <cell r="J2138">
            <v>3.22</v>
          </cell>
          <cell r="K2138">
            <v>4.0999999999999996</v>
          </cell>
          <cell r="L2138">
            <v>6.44</v>
          </cell>
        </row>
        <row r="2139">
          <cell r="D2139" t="str">
            <v xml:space="preserve">  M. 92.            </v>
          </cell>
          <cell r="E2139" t="str">
            <v xml:space="preserve">      </v>
          </cell>
          <cell r="F2139" t="str">
            <v>5.1.2.7.</v>
          </cell>
          <cell r="G2139" t="str">
            <v xml:space="preserve">PVC ÁGUA FRIA Tê de redução 90o soldável:  </v>
          </cell>
          <cell r="H2139" t="str">
            <v xml:space="preserve">      </v>
          </cell>
          <cell r="I2139">
            <v>0</v>
          </cell>
          <cell r="J2139">
            <v>0</v>
          </cell>
          <cell r="K2139">
            <v>0</v>
          </cell>
          <cell r="L2139">
            <v>0</v>
          </cell>
        </row>
        <row r="2140">
          <cell r="D2140" t="str">
            <v xml:space="preserve">  M. 93.            </v>
          </cell>
          <cell r="E2140" t="str">
            <v>CP0808</v>
          </cell>
          <cell r="F2140" t="str">
            <v>5.1.2.7.1</v>
          </cell>
          <cell r="G2140" t="str">
            <v xml:space="preserve">PVC ÁGUA FRIA Tê de redução 90o soldável: DN 50 x 25  </v>
          </cell>
          <cell r="H2140" t="str">
            <v xml:space="preserve">pç    </v>
          </cell>
          <cell r="I2140">
            <v>1</v>
          </cell>
          <cell r="J2140">
            <v>4.5999999999999996</v>
          </cell>
          <cell r="K2140">
            <v>3.97</v>
          </cell>
          <cell r="L2140">
            <v>4.5999999999999996</v>
          </cell>
        </row>
        <row r="2141">
          <cell r="D2141" t="str">
            <v xml:space="preserve">  M. 94.            </v>
          </cell>
          <cell r="E2141" t="str">
            <v xml:space="preserve">      </v>
          </cell>
          <cell r="F2141" t="str">
            <v>5.1.2.8.</v>
          </cell>
          <cell r="G2141" t="str">
            <v xml:space="preserve">PVC ÁGUA FRIA Tubo de descarga:  </v>
          </cell>
          <cell r="H2141" t="str">
            <v xml:space="preserve">      </v>
          </cell>
          <cell r="I2141">
            <v>0</v>
          </cell>
          <cell r="J2141">
            <v>0</v>
          </cell>
          <cell r="K2141">
            <v>0</v>
          </cell>
          <cell r="L2141">
            <v>0</v>
          </cell>
        </row>
        <row r="2142">
          <cell r="D2142" t="str">
            <v xml:space="preserve">  M. 95.            </v>
          </cell>
          <cell r="E2142" t="str">
            <v>CP2181</v>
          </cell>
          <cell r="F2142" t="str">
            <v>5.1.2.8.1</v>
          </cell>
          <cell r="G2142" t="str">
            <v xml:space="preserve">PVC ÁGUA FRIA Tubo de descarga: DN 38  </v>
          </cell>
          <cell r="H2142" t="str">
            <v xml:space="preserve">pç    </v>
          </cell>
          <cell r="I2142">
            <v>1</v>
          </cell>
          <cell r="J2142">
            <v>3.89</v>
          </cell>
          <cell r="K2142">
            <v>3.93</v>
          </cell>
          <cell r="L2142">
            <v>3.89</v>
          </cell>
        </row>
        <row r="2143">
          <cell r="D2143" t="str">
            <v xml:space="preserve">  M. 96.            </v>
          </cell>
          <cell r="E2143" t="str">
            <v xml:space="preserve">      </v>
          </cell>
          <cell r="F2143" t="str">
            <v>5.1.3.</v>
          </cell>
          <cell r="G2143" t="str">
            <v xml:space="preserve">DIVERSOS  </v>
          </cell>
          <cell r="H2143" t="str">
            <v xml:space="preserve">      </v>
          </cell>
          <cell r="I2143">
            <v>0</v>
          </cell>
          <cell r="J2143">
            <v>0</v>
          </cell>
          <cell r="K2143">
            <v>0</v>
          </cell>
          <cell r="L2143">
            <v>0</v>
          </cell>
        </row>
        <row r="2144">
          <cell r="D2144" t="str">
            <v xml:space="preserve">  M. 97.            </v>
          </cell>
          <cell r="E2144" t="str">
            <v>CP1718</v>
          </cell>
          <cell r="F2144" t="str">
            <v>5.1.3.1.</v>
          </cell>
          <cell r="G2144" t="str">
            <v xml:space="preserve">Vaso sanitário em louça  </v>
          </cell>
          <cell r="H2144" t="str">
            <v xml:space="preserve">pç    </v>
          </cell>
          <cell r="I2144">
            <v>1</v>
          </cell>
          <cell r="J2144">
            <v>64.63</v>
          </cell>
          <cell r="K2144">
            <v>53.89</v>
          </cell>
          <cell r="L2144">
            <v>64.63</v>
          </cell>
        </row>
        <row r="2145">
          <cell r="D2145" t="str">
            <v xml:space="preserve">  M. 98.            </v>
          </cell>
          <cell r="E2145" t="str">
            <v>CP0704</v>
          </cell>
          <cell r="F2145" t="str">
            <v>5.1.3.2.</v>
          </cell>
          <cell r="G2145" t="str">
            <v xml:space="preserve">Lavatório sem coluna  </v>
          </cell>
          <cell r="H2145" t="str">
            <v xml:space="preserve">pç    </v>
          </cell>
          <cell r="I2145">
            <v>1</v>
          </cell>
          <cell r="J2145">
            <v>34.229999999999997</v>
          </cell>
          <cell r="K2145">
            <v>28.7</v>
          </cell>
          <cell r="L2145">
            <v>34.229999999999997</v>
          </cell>
        </row>
        <row r="2146">
          <cell r="D2146" t="str">
            <v xml:space="preserve">  M. 99.            </v>
          </cell>
          <cell r="E2146" t="str">
            <v>CP0712</v>
          </cell>
          <cell r="F2146" t="str">
            <v>5.1.3.3.</v>
          </cell>
          <cell r="G2146" t="str">
            <v xml:space="preserve">Tubo de ligação cromado, D=40 mm  </v>
          </cell>
          <cell r="H2146" t="str">
            <v xml:space="preserve">pç    </v>
          </cell>
          <cell r="I2146">
            <v>1</v>
          </cell>
          <cell r="J2146">
            <v>18.05</v>
          </cell>
          <cell r="K2146">
            <v>22.3</v>
          </cell>
          <cell r="L2146">
            <v>18.05</v>
          </cell>
        </row>
        <row r="2147">
          <cell r="D2147" t="str">
            <v xml:space="preserve">  M.100.            </v>
          </cell>
          <cell r="E2147" t="str">
            <v>CP2047</v>
          </cell>
          <cell r="F2147" t="str">
            <v>5.1.3.4.</v>
          </cell>
          <cell r="G2147" t="str">
            <v xml:space="preserve">Ligação flexível cromada DN 1/2  </v>
          </cell>
          <cell r="H2147" t="str">
            <v xml:space="preserve">pç    </v>
          </cell>
          <cell r="I2147">
            <v>1</v>
          </cell>
          <cell r="J2147">
            <v>10.51</v>
          </cell>
          <cell r="K2147">
            <v>8.77</v>
          </cell>
          <cell r="L2147">
            <v>10.51</v>
          </cell>
        </row>
        <row r="2148">
          <cell r="D2148" t="str">
            <v xml:space="preserve">  M.101.            </v>
          </cell>
          <cell r="E2148" t="str">
            <v xml:space="preserve">      </v>
          </cell>
          <cell r="F2148" t="str">
            <v>5.1.3.5.</v>
          </cell>
          <cell r="G2148" t="str">
            <v xml:space="preserve">Sifão:  </v>
          </cell>
          <cell r="H2148" t="str">
            <v xml:space="preserve">      </v>
          </cell>
          <cell r="I2148">
            <v>0</v>
          </cell>
          <cell r="J2148">
            <v>0</v>
          </cell>
          <cell r="K2148">
            <v>0</v>
          </cell>
          <cell r="L2148">
            <v>0</v>
          </cell>
        </row>
        <row r="2149">
          <cell r="D2149" t="str">
            <v xml:space="preserve">  M.102.            </v>
          </cell>
          <cell r="E2149" t="str">
            <v>CP0700</v>
          </cell>
          <cell r="F2149" t="str">
            <v>5.1.3.5.1</v>
          </cell>
          <cell r="G2149" t="str">
            <v xml:space="preserve">Sifão: para lavatório DN 1 x 1 1/2  </v>
          </cell>
          <cell r="H2149" t="str">
            <v xml:space="preserve">pç    </v>
          </cell>
          <cell r="I2149">
            <v>1</v>
          </cell>
          <cell r="J2149">
            <v>42.26</v>
          </cell>
          <cell r="K2149">
            <v>35.46</v>
          </cell>
          <cell r="L2149">
            <v>42.26</v>
          </cell>
        </row>
        <row r="2150">
          <cell r="D2150" t="str">
            <v xml:space="preserve">  M.103.            </v>
          </cell>
          <cell r="E2150" t="str">
            <v xml:space="preserve">      </v>
          </cell>
          <cell r="F2150" t="str">
            <v>5.1.3.6.</v>
          </cell>
          <cell r="G2150" t="str">
            <v xml:space="preserve">Conjunto de metais:  </v>
          </cell>
          <cell r="H2150" t="str">
            <v xml:space="preserve">      </v>
          </cell>
          <cell r="I2150">
            <v>0</v>
          </cell>
          <cell r="J2150">
            <v>0</v>
          </cell>
          <cell r="K2150">
            <v>0</v>
          </cell>
          <cell r="L2150">
            <v>0</v>
          </cell>
        </row>
        <row r="2151">
          <cell r="D2151" t="str">
            <v xml:space="preserve">  M.104.            </v>
          </cell>
          <cell r="E2151" t="str">
            <v>CP1769</v>
          </cell>
          <cell r="F2151" t="str">
            <v>5.1.3.6.1</v>
          </cell>
          <cell r="G2151" t="str">
            <v xml:space="preserve">Conjunto de metais: para lavatório com uma água  </v>
          </cell>
          <cell r="H2151" t="str">
            <v xml:space="preserve">pç    </v>
          </cell>
          <cell r="I2151">
            <v>1</v>
          </cell>
          <cell r="J2151">
            <v>133.80000000000001</v>
          </cell>
          <cell r="K2151">
            <v>111.82</v>
          </cell>
          <cell r="L2151">
            <v>133.80000000000001</v>
          </cell>
        </row>
        <row r="2152">
          <cell r="D2152" t="str">
            <v xml:space="preserve">  M.105.            </v>
          </cell>
          <cell r="E2152" t="str">
            <v xml:space="preserve">      </v>
          </cell>
          <cell r="F2152" t="str">
            <v>5.1.3.7.</v>
          </cell>
          <cell r="G2152" t="str">
            <v xml:space="preserve">Caixa d'água, em fibra de vidro  </v>
          </cell>
          <cell r="H2152" t="str">
            <v xml:space="preserve">      </v>
          </cell>
          <cell r="I2152">
            <v>0</v>
          </cell>
          <cell r="J2152">
            <v>0</v>
          </cell>
          <cell r="K2152">
            <v>0</v>
          </cell>
          <cell r="L2152">
            <v>0</v>
          </cell>
        </row>
        <row r="2153">
          <cell r="D2153" t="str">
            <v xml:space="preserve">  M.106.            </v>
          </cell>
          <cell r="E2153" t="str">
            <v>CP1635</v>
          </cell>
          <cell r="F2153" t="str">
            <v>5.1.3.7.1</v>
          </cell>
          <cell r="G2153" t="str">
            <v xml:space="preserve">Caixa d'água, em fibra de vidro Capacidade 1000 l  </v>
          </cell>
          <cell r="H2153" t="str">
            <v xml:space="preserve">un    </v>
          </cell>
          <cell r="I2153">
            <v>1</v>
          </cell>
          <cell r="J2153">
            <v>422.99</v>
          </cell>
          <cell r="K2153">
            <v>354.24</v>
          </cell>
          <cell r="L2153">
            <v>422.99</v>
          </cell>
        </row>
        <row r="2154">
          <cell r="D2154" t="str">
            <v xml:space="preserve">  M.107.            </v>
          </cell>
          <cell r="E2154" t="str">
            <v xml:space="preserve">      </v>
          </cell>
          <cell r="F2154" t="str">
            <v>5.1.3.8.</v>
          </cell>
          <cell r="G2154" t="str">
            <v xml:space="preserve">Registro de gaveta, em bronze, acabamento cromado:  </v>
          </cell>
          <cell r="H2154" t="str">
            <v xml:space="preserve">      </v>
          </cell>
          <cell r="I2154">
            <v>0</v>
          </cell>
          <cell r="J2154">
            <v>0</v>
          </cell>
          <cell r="K2154">
            <v>0</v>
          </cell>
          <cell r="L2154">
            <v>0</v>
          </cell>
        </row>
        <row r="2155">
          <cell r="D2155" t="str">
            <v xml:space="preserve">  M.108.            </v>
          </cell>
          <cell r="E2155" t="str">
            <v>CP1791</v>
          </cell>
          <cell r="F2155" t="str">
            <v>5.1.3.8.1</v>
          </cell>
          <cell r="G2155" t="str">
            <v xml:space="preserve">Registro de gaveta, em bronze, acabamento cromado: DN 1 1/2  </v>
          </cell>
          <cell r="H2155" t="str">
            <v xml:space="preserve">un    </v>
          </cell>
          <cell r="I2155">
            <v>1</v>
          </cell>
          <cell r="J2155">
            <v>122.21</v>
          </cell>
          <cell r="K2155">
            <v>101.79</v>
          </cell>
          <cell r="L2155">
            <v>122.21</v>
          </cell>
        </row>
        <row r="2156">
          <cell r="D2156" t="str">
            <v xml:space="preserve">  M.109.            </v>
          </cell>
          <cell r="E2156" t="str">
            <v xml:space="preserve">      </v>
          </cell>
          <cell r="F2156" t="str">
            <v>5.1.3.9.</v>
          </cell>
          <cell r="G2156" t="str">
            <v xml:space="preserve">Torneira de bóia:  </v>
          </cell>
          <cell r="H2156" t="str">
            <v xml:space="preserve">      </v>
          </cell>
          <cell r="I2156">
            <v>0</v>
          </cell>
          <cell r="J2156">
            <v>0</v>
          </cell>
          <cell r="K2156">
            <v>0</v>
          </cell>
          <cell r="L2156">
            <v>0</v>
          </cell>
        </row>
        <row r="2157">
          <cell r="D2157" t="str">
            <v xml:space="preserve">  M.110.            </v>
          </cell>
          <cell r="E2157" t="str">
            <v>CP1881</v>
          </cell>
          <cell r="F2157" t="str">
            <v>5.1.3.9.1</v>
          </cell>
          <cell r="G2157" t="str">
            <v xml:space="preserve">Torneira de bóia: DN 1/2  </v>
          </cell>
          <cell r="H2157" t="str">
            <v xml:space="preserve">un    </v>
          </cell>
          <cell r="I2157">
            <v>1</v>
          </cell>
          <cell r="J2157">
            <v>43.99</v>
          </cell>
          <cell r="K2157">
            <v>36.68</v>
          </cell>
          <cell r="L2157">
            <v>43.99</v>
          </cell>
        </row>
        <row r="2158">
          <cell r="D2158" t="str">
            <v xml:space="preserve">  M.111.            </v>
          </cell>
          <cell r="E2158" t="str">
            <v xml:space="preserve">      </v>
          </cell>
          <cell r="F2158" t="str">
            <v>5.1.3.10.</v>
          </cell>
          <cell r="G2158" t="str">
            <v xml:space="preserve">Válvula de descarga:  </v>
          </cell>
          <cell r="H2158" t="str">
            <v xml:space="preserve">      </v>
          </cell>
          <cell r="I2158">
            <v>0</v>
          </cell>
          <cell r="J2158">
            <v>0</v>
          </cell>
          <cell r="K2158">
            <v>0</v>
          </cell>
          <cell r="L2158">
            <v>0</v>
          </cell>
        </row>
        <row r="2159">
          <cell r="D2159" t="str">
            <v xml:space="preserve">  M.112.            </v>
          </cell>
          <cell r="E2159" t="str">
            <v>CP0708</v>
          </cell>
          <cell r="F2159" t="str">
            <v>5.1.3.10.1</v>
          </cell>
          <cell r="G2159" t="str">
            <v xml:space="preserve">Válvula de descarga: DN 1 1/2  </v>
          </cell>
          <cell r="H2159" t="str">
            <v xml:space="preserve">un    </v>
          </cell>
          <cell r="I2159">
            <v>1</v>
          </cell>
          <cell r="J2159">
            <v>117.34</v>
          </cell>
          <cell r="K2159">
            <v>98.6</v>
          </cell>
          <cell r="L2159">
            <v>117.34</v>
          </cell>
        </row>
        <row r="2160">
          <cell r="D2160" t="str">
            <v xml:space="preserve">  M.113.            </v>
          </cell>
          <cell r="E2160" t="str">
            <v xml:space="preserve">      </v>
          </cell>
          <cell r="F2160" t="str">
            <v>5.2.</v>
          </cell>
          <cell r="G2160" t="str">
            <v xml:space="preserve">Assentamento de Tubos, Peças, Conexões e Aparelhos Hidráulicos  </v>
          </cell>
          <cell r="H2160" t="str">
            <v xml:space="preserve">      </v>
          </cell>
          <cell r="I2160">
            <v>0</v>
          </cell>
          <cell r="J2160">
            <v>0</v>
          </cell>
          <cell r="K2160">
            <v>0</v>
          </cell>
          <cell r="L2160">
            <v>0</v>
          </cell>
        </row>
        <row r="2161">
          <cell r="D2161" t="str">
            <v xml:space="preserve">  M.114.            </v>
          </cell>
          <cell r="E2161" t="str">
            <v xml:space="preserve">      </v>
          </cell>
          <cell r="F2161" t="str">
            <v>5.2.1.</v>
          </cell>
          <cell r="G2161" t="str">
            <v xml:space="preserve">Assentamento de Tubos, Peças, Conexões e Aparelhos Hidráulicos PVC - ESGOTO  </v>
          </cell>
          <cell r="H2161" t="str">
            <v xml:space="preserve">      </v>
          </cell>
          <cell r="I2161">
            <v>0</v>
          </cell>
          <cell r="J2161">
            <v>0</v>
          </cell>
          <cell r="K2161">
            <v>0</v>
          </cell>
          <cell r="L2161">
            <v>0</v>
          </cell>
        </row>
        <row r="2162">
          <cell r="D2162" t="str">
            <v xml:space="preserve">  M.115.            </v>
          </cell>
          <cell r="E2162" t="str">
            <v xml:space="preserve">      </v>
          </cell>
          <cell r="F2162" t="str">
            <v>5.2.1.1.</v>
          </cell>
          <cell r="G2162" t="str">
            <v xml:space="preserve">Tubo e conexões de PVC tipo esgoto:  </v>
          </cell>
          <cell r="H2162" t="str">
            <v xml:space="preserve">      </v>
          </cell>
          <cell r="I2162">
            <v>0</v>
          </cell>
          <cell r="J2162">
            <v>0</v>
          </cell>
          <cell r="K2162">
            <v>0</v>
          </cell>
          <cell r="L2162">
            <v>0</v>
          </cell>
        </row>
        <row r="2163">
          <cell r="D2163" t="str">
            <v xml:space="preserve">  M.116.            </v>
          </cell>
          <cell r="E2163" t="str">
            <v>CP4604</v>
          </cell>
          <cell r="F2163" t="str">
            <v>5.2.1.1.1</v>
          </cell>
          <cell r="G2163" t="str">
            <v xml:space="preserve">Tubo e conexões de PVC tipo esgoto: DN 100  </v>
          </cell>
          <cell r="H2163" t="str">
            <v xml:space="preserve">m     </v>
          </cell>
          <cell r="I2163">
            <v>6</v>
          </cell>
          <cell r="J2163">
            <v>11.21</v>
          </cell>
          <cell r="K2163">
            <v>9.41</v>
          </cell>
          <cell r="L2163">
            <v>67.260000000000005</v>
          </cell>
        </row>
        <row r="2164">
          <cell r="D2164" t="str">
            <v xml:space="preserve">  M.117.            </v>
          </cell>
          <cell r="E2164" t="str">
            <v>CP0154</v>
          </cell>
          <cell r="F2164" t="str">
            <v>5.2.1.1.2</v>
          </cell>
          <cell r="G2164" t="str">
            <v xml:space="preserve">Tubo e conexões de PVC tipo esgoto: DN 75  </v>
          </cell>
          <cell r="H2164" t="str">
            <v xml:space="preserve">m     </v>
          </cell>
          <cell r="I2164">
            <v>12</v>
          </cell>
          <cell r="J2164">
            <v>1.23</v>
          </cell>
          <cell r="K2164">
            <v>9.41</v>
          </cell>
          <cell r="L2164">
            <v>14.76</v>
          </cell>
        </row>
        <row r="2165">
          <cell r="D2165" t="str">
            <v xml:space="preserve">  M.118.            </v>
          </cell>
          <cell r="E2165" t="str">
            <v>CP0570</v>
          </cell>
          <cell r="F2165" t="str">
            <v>5.2.1.1.3</v>
          </cell>
          <cell r="G2165" t="str">
            <v xml:space="preserve">Tubo e conexões de PVC tipo esgoto: DN 50  </v>
          </cell>
          <cell r="H2165" t="str">
            <v xml:space="preserve">m     </v>
          </cell>
          <cell r="I2165">
            <v>12</v>
          </cell>
          <cell r="J2165">
            <v>5.82</v>
          </cell>
          <cell r="K2165">
            <v>6.27</v>
          </cell>
          <cell r="L2165">
            <v>69.84</v>
          </cell>
        </row>
        <row r="2166">
          <cell r="D2166" t="str">
            <v xml:space="preserve">  M.119.            </v>
          </cell>
          <cell r="E2166" t="str">
            <v>CP0575</v>
          </cell>
          <cell r="F2166" t="str">
            <v>5.2.1.1.4</v>
          </cell>
          <cell r="G2166" t="str">
            <v xml:space="preserve">Tubo e conexões de PVC tipo esgoto: DN 40  </v>
          </cell>
          <cell r="H2166" t="str">
            <v xml:space="preserve">m     </v>
          </cell>
          <cell r="I2166">
            <v>3</v>
          </cell>
          <cell r="J2166">
            <v>5.82</v>
          </cell>
          <cell r="K2166">
            <v>6.27</v>
          </cell>
          <cell r="L2166">
            <v>17.46</v>
          </cell>
        </row>
        <row r="2167">
          <cell r="D2167" t="str">
            <v xml:space="preserve">  M.120.            </v>
          </cell>
          <cell r="E2167" t="str">
            <v xml:space="preserve">      </v>
          </cell>
          <cell r="F2167" t="str">
            <v>5.2.2.</v>
          </cell>
          <cell r="G2167" t="str">
            <v xml:space="preserve">Caixa sifonada, com grelha cromada, completa:  </v>
          </cell>
          <cell r="H2167" t="str">
            <v xml:space="preserve">      </v>
          </cell>
          <cell r="I2167">
            <v>0</v>
          </cell>
          <cell r="J2167">
            <v>0</v>
          </cell>
          <cell r="K2167">
            <v>0</v>
          </cell>
          <cell r="L2167">
            <v>0</v>
          </cell>
        </row>
        <row r="2168">
          <cell r="D2168" t="str">
            <v xml:space="preserve">  M.121.            </v>
          </cell>
          <cell r="E2168" t="str">
            <v>CP0457</v>
          </cell>
          <cell r="F2168" t="str">
            <v>5.2.2.1.</v>
          </cell>
          <cell r="G2168" t="str">
            <v xml:space="preserve">Caixa sifonada, com grelha cromada, completa: 100 x 100 x 50  </v>
          </cell>
          <cell r="H2168" t="str">
            <v xml:space="preserve">pç    </v>
          </cell>
          <cell r="I2168">
            <v>1</v>
          </cell>
          <cell r="J2168">
            <v>9.33</v>
          </cell>
          <cell r="K2168">
            <v>20.39</v>
          </cell>
          <cell r="L2168">
            <v>9.33</v>
          </cell>
        </row>
        <row r="2169">
          <cell r="D2169" t="str">
            <v xml:space="preserve">  M.122.            </v>
          </cell>
          <cell r="E2169" t="str">
            <v xml:space="preserve">      </v>
          </cell>
          <cell r="F2169" t="str">
            <v>5.2.3.</v>
          </cell>
          <cell r="G2169" t="str">
            <v xml:space="preserve">Tubos e Conexões de PVC soldável:  </v>
          </cell>
          <cell r="H2169" t="str">
            <v xml:space="preserve">      </v>
          </cell>
          <cell r="I2169">
            <v>0</v>
          </cell>
          <cell r="J2169">
            <v>0</v>
          </cell>
          <cell r="K2169">
            <v>0</v>
          </cell>
          <cell r="L2169">
            <v>0</v>
          </cell>
        </row>
        <row r="2170">
          <cell r="D2170" t="str">
            <v xml:space="preserve">  M.123.            </v>
          </cell>
          <cell r="E2170" t="str">
            <v>CP0575</v>
          </cell>
          <cell r="F2170" t="str">
            <v>5.2.3.1.</v>
          </cell>
          <cell r="G2170" t="str">
            <v xml:space="preserve">Tubos e Conexões de PVC soldável: DN 20  </v>
          </cell>
          <cell r="H2170" t="str">
            <v xml:space="preserve">m     </v>
          </cell>
          <cell r="I2170">
            <v>12</v>
          </cell>
          <cell r="J2170">
            <v>5.82</v>
          </cell>
          <cell r="K2170">
            <v>5.38</v>
          </cell>
          <cell r="L2170">
            <v>69.84</v>
          </cell>
        </row>
        <row r="2171">
          <cell r="D2171" t="str">
            <v xml:space="preserve">  M.124.            </v>
          </cell>
          <cell r="E2171" t="str">
            <v>CP0154</v>
          </cell>
          <cell r="F2171" t="str">
            <v>5.2.3.2.</v>
          </cell>
          <cell r="G2171" t="str">
            <v xml:space="preserve">Tubos e Conexões de PVC soldável: DN 50  </v>
          </cell>
          <cell r="H2171" t="str">
            <v xml:space="preserve">m     </v>
          </cell>
          <cell r="I2171">
            <v>4</v>
          </cell>
          <cell r="J2171">
            <v>1.23</v>
          </cell>
          <cell r="K2171">
            <v>9.9</v>
          </cell>
          <cell r="L2171">
            <v>4.92</v>
          </cell>
        </row>
        <row r="2172">
          <cell r="D2172" t="str">
            <v xml:space="preserve">  M.125.            </v>
          </cell>
          <cell r="E2172" t="str">
            <v xml:space="preserve">      </v>
          </cell>
          <cell r="F2172" t="str">
            <v>5.2.4.</v>
          </cell>
          <cell r="G2172" t="str">
            <v xml:space="preserve">Aparelhos Hidráulicos  </v>
          </cell>
          <cell r="H2172" t="str">
            <v xml:space="preserve">      </v>
          </cell>
          <cell r="I2172">
            <v>0</v>
          </cell>
          <cell r="J2172">
            <v>0</v>
          </cell>
          <cell r="K2172">
            <v>0</v>
          </cell>
          <cell r="L2172">
            <v>0</v>
          </cell>
        </row>
        <row r="2173">
          <cell r="D2173" t="str">
            <v xml:space="preserve">  M.126.            </v>
          </cell>
          <cell r="E2173" t="str">
            <v>CP0467</v>
          </cell>
          <cell r="F2173" t="str">
            <v>5.2.4.1.</v>
          </cell>
          <cell r="G2173" t="str">
            <v xml:space="preserve">Vaso sanitário em louça  </v>
          </cell>
          <cell r="H2173" t="str">
            <v xml:space="preserve">pç    </v>
          </cell>
          <cell r="I2173">
            <v>1</v>
          </cell>
          <cell r="J2173">
            <v>63.16</v>
          </cell>
          <cell r="K2173">
            <v>57.66</v>
          </cell>
          <cell r="L2173">
            <v>63.16</v>
          </cell>
        </row>
        <row r="2174">
          <cell r="D2174" t="str">
            <v xml:space="preserve">  M.127.            </v>
          </cell>
          <cell r="E2174" t="str">
            <v>CP0453</v>
          </cell>
          <cell r="F2174" t="str">
            <v>5.2.4.2.</v>
          </cell>
          <cell r="G2174" t="str">
            <v xml:space="preserve">Lavatório sem coluna  </v>
          </cell>
          <cell r="H2174" t="str">
            <v xml:space="preserve">pç    </v>
          </cell>
          <cell r="I2174">
            <v>1</v>
          </cell>
          <cell r="J2174">
            <v>20.079999999999998</v>
          </cell>
          <cell r="K2174">
            <v>69.83</v>
          </cell>
          <cell r="L2174">
            <v>20.079999999999998</v>
          </cell>
        </row>
        <row r="2175">
          <cell r="D2175" t="str">
            <v xml:space="preserve">  M.128.            </v>
          </cell>
          <cell r="E2175" t="str">
            <v xml:space="preserve">      </v>
          </cell>
          <cell r="F2175" t="str">
            <v>5.2.4.3.</v>
          </cell>
          <cell r="G2175" t="str">
            <v xml:space="preserve">Conjunto de metais  </v>
          </cell>
          <cell r="H2175" t="str">
            <v xml:space="preserve">      </v>
          </cell>
          <cell r="I2175">
            <v>0</v>
          </cell>
          <cell r="J2175">
            <v>0</v>
          </cell>
          <cell r="K2175">
            <v>0</v>
          </cell>
          <cell r="L2175">
            <v>0</v>
          </cell>
        </row>
        <row r="2176">
          <cell r="D2176" t="str">
            <v xml:space="preserve">  M.129.            </v>
          </cell>
          <cell r="E2176" t="str">
            <v>CP0528</v>
          </cell>
          <cell r="F2176" t="str">
            <v>5.2.4.3.1</v>
          </cell>
          <cell r="G2176" t="str">
            <v xml:space="preserve">Conjunto de metais Para lavatório  </v>
          </cell>
          <cell r="H2176" t="str">
            <v xml:space="preserve">un    </v>
          </cell>
          <cell r="I2176">
            <v>1</v>
          </cell>
          <cell r="J2176">
            <v>28.37</v>
          </cell>
          <cell r="K2176">
            <v>23.69</v>
          </cell>
          <cell r="L2176">
            <v>28.37</v>
          </cell>
        </row>
        <row r="2177">
          <cell r="D2177" t="str">
            <v xml:space="preserve">  M.130.            </v>
          </cell>
          <cell r="E2177" t="str">
            <v xml:space="preserve">      </v>
          </cell>
          <cell r="F2177" t="str">
            <v>5.2.4.4.</v>
          </cell>
          <cell r="G2177" t="str">
            <v xml:space="preserve">Registro de gaveta:  </v>
          </cell>
          <cell r="H2177" t="str">
            <v xml:space="preserve">      </v>
          </cell>
          <cell r="I2177">
            <v>0</v>
          </cell>
          <cell r="J2177">
            <v>0</v>
          </cell>
          <cell r="K2177">
            <v>0</v>
          </cell>
          <cell r="L2177">
            <v>0</v>
          </cell>
        </row>
        <row r="2178">
          <cell r="D2178" t="str">
            <v xml:space="preserve">  M.131.            </v>
          </cell>
          <cell r="E2178" t="str">
            <v>CP0458</v>
          </cell>
          <cell r="F2178" t="str">
            <v>5.2.4.4.1</v>
          </cell>
          <cell r="G2178" t="str">
            <v xml:space="preserve">Registro de gaveta: DN 1 1/2  </v>
          </cell>
          <cell r="H2178" t="str">
            <v xml:space="preserve">un    </v>
          </cell>
          <cell r="I2178">
            <v>1</v>
          </cell>
          <cell r="J2178">
            <v>19.32</v>
          </cell>
          <cell r="K2178">
            <v>16.13</v>
          </cell>
          <cell r="L2178">
            <v>19.32</v>
          </cell>
        </row>
        <row r="2179">
          <cell r="D2179" t="str">
            <v xml:space="preserve">  N.  1.            </v>
          </cell>
          <cell r="E2179" t="str">
            <v xml:space="preserve">      </v>
          </cell>
          <cell r="F2179" t="str">
            <v>0.XIV.</v>
          </cell>
          <cell r="G2179" t="str">
            <v xml:space="preserve">ÁREA EXTERNA  </v>
          </cell>
          <cell r="H2179" t="str">
            <v xml:space="preserve">      </v>
          </cell>
          <cell r="I2179">
            <v>0</v>
          </cell>
          <cell r="J2179">
            <v>0</v>
          </cell>
          <cell r="K2179">
            <v>0</v>
          </cell>
          <cell r="L2179">
            <v>0</v>
          </cell>
        </row>
        <row r="2180">
          <cell r="D2180" t="str">
            <v xml:space="preserve">  N.  2.            </v>
          </cell>
          <cell r="E2180" t="str">
            <v xml:space="preserve">      </v>
          </cell>
          <cell r="F2180" t="str">
            <v>1.</v>
          </cell>
          <cell r="G2180" t="str">
            <v xml:space="preserve">Movimento de Terra  </v>
          </cell>
          <cell r="H2180" t="str">
            <v xml:space="preserve">      </v>
          </cell>
          <cell r="I2180">
            <v>0</v>
          </cell>
          <cell r="J2180">
            <v>0</v>
          </cell>
          <cell r="K2180">
            <v>0</v>
          </cell>
          <cell r="L2180">
            <v>0</v>
          </cell>
        </row>
        <row r="2181">
          <cell r="D2181" t="str">
            <v xml:space="preserve">  N.  3.            </v>
          </cell>
          <cell r="E2181" t="str">
            <v>CP1120</v>
          </cell>
          <cell r="F2181" t="str">
            <v>1.1.</v>
          </cell>
          <cell r="G2181" t="str">
            <v xml:space="preserve">Escavação mecânica de valas, material de primeira categoria, profundidade até 3, 50 m  </v>
          </cell>
          <cell r="H2181" t="str">
            <v xml:space="preserve">m³    </v>
          </cell>
          <cell r="I2181">
            <v>2650</v>
          </cell>
          <cell r="J2181">
            <v>8.36</v>
          </cell>
          <cell r="K2181">
            <v>6.97</v>
          </cell>
          <cell r="L2181">
            <v>22154</v>
          </cell>
        </row>
        <row r="2182">
          <cell r="D2182" t="str">
            <v xml:space="preserve">  N.  4.            </v>
          </cell>
          <cell r="E2182" t="str">
            <v>CP1118</v>
          </cell>
          <cell r="F2182" t="str">
            <v>1.2.</v>
          </cell>
          <cell r="G2182" t="str">
            <v xml:space="preserve">Escavação mecânica de valas, material de primeira categoria, profundidade até 5, 50 m  </v>
          </cell>
          <cell r="H2182" t="str">
            <v xml:space="preserve">m³    </v>
          </cell>
          <cell r="I2182">
            <v>16230</v>
          </cell>
          <cell r="J2182">
            <v>11.38</v>
          </cell>
          <cell r="K2182">
            <v>10.76</v>
          </cell>
          <cell r="L2182">
            <v>184697.4</v>
          </cell>
        </row>
        <row r="2183">
          <cell r="D2183" t="str">
            <v xml:space="preserve">  N.  5.            </v>
          </cell>
          <cell r="E2183" t="str">
            <v>CP1131</v>
          </cell>
          <cell r="F2183" t="str">
            <v>1.3.</v>
          </cell>
          <cell r="G2183" t="str">
            <v xml:space="preserve">Escavação manual de valas, material de primeira categoria, profundidade até 1, 50 m  </v>
          </cell>
          <cell r="H2183" t="str">
            <v xml:space="preserve">m³    </v>
          </cell>
          <cell r="I2183">
            <v>2350</v>
          </cell>
          <cell r="J2183">
            <v>20.89</v>
          </cell>
          <cell r="K2183">
            <v>19.02</v>
          </cell>
          <cell r="L2183">
            <v>49091.5</v>
          </cell>
        </row>
        <row r="2184">
          <cell r="D2184" t="str">
            <v xml:space="preserve">  N.  6.            </v>
          </cell>
          <cell r="E2184" t="str">
            <v>CP1122</v>
          </cell>
          <cell r="F2184" t="str">
            <v>1.4.</v>
          </cell>
          <cell r="G2184" t="str">
            <v xml:space="preserve">Escavação manual de valas, material de primeira categoria, profundidade maior que 1,50 m até 3,00 m  </v>
          </cell>
          <cell r="H2184" t="str">
            <v xml:space="preserve">m³    </v>
          </cell>
          <cell r="I2184">
            <v>2314</v>
          </cell>
          <cell r="J2184">
            <v>25.56</v>
          </cell>
          <cell r="K2184">
            <v>26.63</v>
          </cell>
          <cell r="L2184">
            <v>59145.84</v>
          </cell>
        </row>
        <row r="2185">
          <cell r="D2185" t="str">
            <v xml:space="preserve">  N.  7.            </v>
          </cell>
          <cell r="E2185" t="str">
            <v>CP1121</v>
          </cell>
          <cell r="F2185" t="str">
            <v>1.5.</v>
          </cell>
          <cell r="G2185" t="str">
            <v xml:space="preserve">Escavação manual de valas, material de primeira categoria, profundidade maior que 3,00 m até 4,50 m  </v>
          </cell>
          <cell r="H2185" t="str">
            <v xml:space="preserve">m³    </v>
          </cell>
          <cell r="I2185">
            <v>1950</v>
          </cell>
          <cell r="J2185">
            <v>31.35</v>
          </cell>
          <cell r="K2185">
            <v>30.13</v>
          </cell>
          <cell r="L2185">
            <v>61132.5</v>
          </cell>
        </row>
        <row r="2186">
          <cell r="D2186" t="str">
            <v xml:space="preserve">  N.  8.            </v>
          </cell>
          <cell r="E2186" t="str">
            <v>CP1103</v>
          </cell>
          <cell r="F2186" t="str">
            <v>1.6.</v>
          </cell>
          <cell r="G2186" t="str">
            <v xml:space="preserve">Aterro de valas e cavas de fundação, com controle do grau de compactação  </v>
          </cell>
          <cell r="H2186" t="str">
            <v xml:space="preserve">m³    </v>
          </cell>
          <cell r="I2186">
            <v>18739</v>
          </cell>
          <cell r="J2186">
            <v>26.5</v>
          </cell>
          <cell r="K2186">
            <v>22.23</v>
          </cell>
          <cell r="L2186">
            <v>496583.5</v>
          </cell>
        </row>
        <row r="2187">
          <cell r="D2187" t="str">
            <v xml:space="preserve">  N.  9.            </v>
          </cell>
          <cell r="E2187" t="str">
            <v>CP1105</v>
          </cell>
          <cell r="F2187" t="str">
            <v>1.7.</v>
          </cell>
          <cell r="G2187" t="str">
            <v xml:space="preserve">Nivelamento do fundo de valas  </v>
          </cell>
          <cell r="H2187" t="str">
            <v xml:space="preserve">m     </v>
          </cell>
          <cell r="I2187">
            <v>3220</v>
          </cell>
          <cell r="J2187">
            <v>2.3199999999999998</v>
          </cell>
          <cell r="K2187">
            <v>2.0699999999999998</v>
          </cell>
          <cell r="L2187">
            <v>7470.4</v>
          </cell>
        </row>
        <row r="2188">
          <cell r="D2188" t="str">
            <v xml:space="preserve">  N. 10.            </v>
          </cell>
          <cell r="E2188" t="str">
            <v>CP1107</v>
          </cell>
          <cell r="F2188" t="str">
            <v>1.8.</v>
          </cell>
          <cell r="G2188" t="str">
            <v xml:space="preserve">Espalhamento de material escavado  </v>
          </cell>
          <cell r="H2188" t="str">
            <v xml:space="preserve">m³    </v>
          </cell>
          <cell r="I2188">
            <v>6755</v>
          </cell>
          <cell r="J2188">
            <v>1.28</v>
          </cell>
          <cell r="K2188">
            <v>1.6</v>
          </cell>
          <cell r="L2188">
            <v>8646.4</v>
          </cell>
        </row>
        <row r="2189">
          <cell r="D2189" t="str">
            <v xml:space="preserve">  N. 11.            </v>
          </cell>
          <cell r="E2189" t="str">
            <v>CP1101</v>
          </cell>
          <cell r="F2189" t="str">
            <v>1.9.</v>
          </cell>
          <cell r="G2189" t="str">
            <v xml:space="preserve">Carga e descarga manual, de material em geral, sem manuseio e arrumação do material  </v>
          </cell>
          <cell r="H2189" t="str">
            <v xml:space="preserve">m³    </v>
          </cell>
          <cell r="I2189">
            <v>8782</v>
          </cell>
          <cell r="J2189">
            <v>5.88</v>
          </cell>
          <cell r="K2189">
            <v>4.9400000000000004</v>
          </cell>
          <cell r="L2189">
            <v>51638.16</v>
          </cell>
        </row>
        <row r="2190">
          <cell r="D2190" t="str">
            <v xml:space="preserve">  N. 12.            </v>
          </cell>
          <cell r="E2190" t="str">
            <v>CP1085</v>
          </cell>
          <cell r="F2190" t="str">
            <v>1.10.</v>
          </cell>
          <cell r="G2190" t="str">
            <v xml:space="preserve">Carga mecânica de material em geral em caminhão basculante  </v>
          </cell>
          <cell r="H2190" t="str">
            <v xml:space="preserve">m³    </v>
          </cell>
          <cell r="I2190">
            <v>6080</v>
          </cell>
          <cell r="J2190">
            <v>1.23</v>
          </cell>
          <cell r="K2190">
            <v>1.74</v>
          </cell>
          <cell r="L2190">
            <v>7478.4</v>
          </cell>
        </row>
        <row r="2191">
          <cell r="D2191" t="str">
            <v xml:space="preserve">  N. 13.            </v>
          </cell>
          <cell r="E2191" t="str">
            <v>CP1070</v>
          </cell>
          <cell r="F2191" t="str">
            <v>1.11.</v>
          </cell>
          <cell r="G2191" t="str">
            <v xml:space="preserve">Transporte mecânico de material a granel em caminhão basculante  </v>
          </cell>
          <cell r="H2191" t="str">
            <v xml:space="preserve">m³xkm </v>
          </cell>
          <cell r="I2191">
            <v>67551</v>
          </cell>
          <cell r="J2191">
            <v>2.38</v>
          </cell>
          <cell r="K2191">
            <v>2.35</v>
          </cell>
          <cell r="L2191">
            <v>160771.38</v>
          </cell>
        </row>
        <row r="2192">
          <cell r="D2192" t="str">
            <v xml:space="preserve">  N. 14.            </v>
          </cell>
          <cell r="E2192" t="str">
            <v>CP1068</v>
          </cell>
          <cell r="F2192" t="str">
            <v>1.12.</v>
          </cell>
          <cell r="G2192" t="str">
            <v xml:space="preserve">Escoramento descontínuo em madeira para valas até 5,00 m de profundidade  </v>
          </cell>
          <cell r="H2192" t="str">
            <v xml:space="preserve">m²    </v>
          </cell>
          <cell r="I2192">
            <v>15600</v>
          </cell>
          <cell r="J2192">
            <v>18.440000000000001</v>
          </cell>
          <cell r="K2192">
            <v>15.49</v>
          </cell>
          <cell r="L2192">
            <v>287664</v>
          </cell>
        </row>
        <row r="2193">
          <cell r="D2193" t="str">
            <v xml:space="preserve">  N. 15.            </v>
          </cell>
          <cell r="E2193" t="str">
            <v>CP1066</v>
          </cell>
          <cell r="F2193" t="str">
            <v>1.13.</v>
          </cell>
          <cell r="G2193" t="str">
            <v xml:space="preserve">Escoramento contínuo em madeira para valas até 5,00 m de profundidade  </v>
          </cell>
          <cell r="H2193" t="str">
            <v xml:space="preserve">m²    </v>
          </cell>
          <cell r="I2193">
            <v>1560</v>
          </cell>
          <cell r="J2193">
            <v>27.37</v>
          </cell>
          <cell r="K2193">
            <v>38.67</v>
          </cell>
          <cell r="L2193">
            <v>42697.2</v>
          </cell>
        </row>
        <row r="2194">
          <cell r="D2194" t="str">
            <v xml:space="preserve">  N. 16.            </v>
          </cell>
          <cell r="E2194" t="str">
            <v>CP1104</v>
          </cell>
          <cell r="F2194" t="str">
            <v>1.14.</v>
          </cell>
          <cell r="G2194" t="str">
            <v xml:space="preserve">Aterro mecânico de valas sem compactação  </v>
          </cell>
          <cell r="H2194" t="str">
            <v xml:space="preserve">m³    </v>
          </cell>
          <cell r="I2194">
            <v>6500</v>
          </cell>
          <cell r="J2194">
            <v>5.13</v>
          </cell>
          <cell r="K2194">
            <v>4.3</v>
          </cell>
          <cell r="L2194">
            <v>33345</v>
          </cell>
        </row>
        <row r="2195">
          <cell r="D2195" t="str">
            <v xml:space="preserve">  N. 17.            </v>
          </cell>
          <cell r="E2195" t="str">
            <v xml:space="preserve">      </v>
          </cell>
          <cell r="F2195" t="str">
            <v>2.</v>
          </cell>
          <cell r="G2195" t="str">
            <v xml:space="preserve">Fornecimento de Tubos, Peças, Conexões e Aparelhos Hidráulicos  </v>
          </cell>
          <cell r="H2195" t="str">
            <v xml:space="preserve">      </v>
          </cell>
          <cell r="I2195">
            <v>0</v>
          </cell>
          <cell r="J2195">
            <v>0</v>
          </cell>
          <cell r="K2195">
            <v>0</v>
          </cell>
          <cell r="L2195">
            <v>0</v>
          </cell>
        </row>
        <row r="2196">
          <cell r="D2196" t="str">
            <v xml:space="preserve">  N. 18.            </v>
          </cell>
          <cell r="E2196" t="str">
            <v xml:space="preserve">      </v>
          </cell>
          <cell r="F2196" t="str">
            <v>2.1.</v>
          </cell>
          <cell r="G2196" t="str">
            <v xml:space="preserve">Tubos de aço carbono ASTM A-36/93, calandrados e soldados pelo processo do arco submerso, com pontas biseladas para solda em campo e/ou flangeadas. Revestimento interno e externo com tinta epoxi.  </v>
          </cell>
          <cell r="H2196" t="str">
            <v xml:space="preserve">      </v>
          </cell>
          <cell r="I2196">
            <v>0</v>
          </cell>
          <cell r="J2196">
            <v>0</v>
          </cell>
          <cell r="K2196">
            <v>0</v>
          </cell>
          <cell r="L2196">
            <v>0</v>
          </cell>
        </row>
        <row r="2197">
          <cell r="D2197" t="str">
            <v xml:space="preserve">  N. 19.            </v>
          </cell>
          <cell r="E2197" t="str">
            <v>CP1380</v>
          </cell>
          <cell r="F2197" t="str">
            <v>2.1.1.</v>
          </cell>
          <cell r="G2197" t="str">
            <v xml:space="preserve">Tubos de aço carbono ASTM A-36/93, calandrados e soldados pelo processo do arco submerso, com pontas biseladas para solda em campo e/ou flangeadas. Revestimento interno e externo com tinta epoxi. DN 2000 esp. 1/2  </v>
          </cell>
          <cell r="H2197" t="str">
            <v xml:space="preserve">m     </v>
          </cell>
          <cell r="I2197">
            <v>335</v>
          </cell>
          <cell r="J2197">
            <v>7490</v>
          </cell>
          <cell r="K2197">
            <v>6246.03</v>
          </cell>
          <cell r="L2197">
            <v>2509150</v>
          </cell>
        </row>
        <row r="2198">
          <cell r="D2198" t="str">
            <v xml:space="preserve">  N. 20.            </v>
          </cell>
          <cell r="E2198" t="str">
            <v>CP1423</v>
          </cell>
          <cell r="F2198" t="str">
            <v>2.1.2.</v>
          </cell>
          <cell r="G2198" t="str">
            <v xml:space="preserve">Tubos de aço carbono ASTM A-36/93, calandrados e soldados pelo processo do arco submerso, com pontas biseladas para solda em campo e/ou flangeadas. Revestimento interno e externo com tinta epoxi. DN 1800 esp. 3/8  </v>
          </cell>
          <cell r="H2198" t="str">
            <v xml:space="preserve">m     </v>
          </cell>
          <cell r="I2198">
            <v>147</v>
          </cell>
          <cell r="J2198">
            <v>5627.26</v>
          </cell>
          <cell r="K2198">
            <v>4680.45</v>
          </cell>
          <cell r="L2198">
            <v>827207.22</v>
          </cell>
        </row>
        <row r="2199">
          <cell r="D2199" t="str">
            <v xml:space="preserve">  N. 21.            </v>
          </cell>
          <cell r="E2199" t="str">
            <v>CP1439</v>
          </cell>
          <cell r="F2199" t="str">
            <v>2.1.3.</v>
          </cell>
          <cell r="G2199" t="str">
            <v xml:space="preserve">Tubos de aço carbono ASTM A-36/93, calandrados e soldados pelo processo do arco submerso, com pontas biseladas para solda em campo e/ou flangeadas. Revestimento interno e externo com tinta epoxi. DN 1400 esp. 3/8  </v>
          </cell>
          <cell r="H2199" t="str">
            <v xml:space="preserve">m     </v>
          </cell>
          <cell r="I2199">
            <v>166</v>
          </cell>
          <cell r="J2199">
            <v>3822.75</v>
          </cell>
          <cell r="K2199">
            <v>3198.15</v>
          </cell>
          <cell r="L2199">
            <v>634576.5</v>
          </cell>
        </row>
        <row r="2200">
          <cell r="D2200" t="str">
            <v xml:space="preserve">  N. 22.            </v>
          </cell>
          <cell r="E2200" t="str">
            <v>CP1468</v>
          </cell>
          <cell r="F2200" t="str">
            <v>2.1.4.</v>
          </cell>
          <cell r="G2200" t="str">
            <v xml:space="preserve">Tubos de aço carbono ASTM A-36/93, calandrados e soldados pelo processo do arco submerso, com pontas biseladas para solda em campo e/ou flangeadas. Revestimento interno e externo com tinta epoxi. DN 1200 esp. 3/8  </v>
          </cell>
          <cell r="H2200" t="str">
            <v xml:space="preserve">m     </v>
          </cell>
          <cell r="I2200">
            <v>80</v>
          </cell>
          <cell r="J2200">
            <v>3228.52</v>
          </cell>
          <cell r="K2200">
            <v>2704.05</v>
          </cell>
          <cell r="L2200">
            <v>258281.60000000001</v>
          </cell>
        </row>
        <row r="2201">
          <cell r="D2201" t="str">
            <v xml:space="preserve">  N. 23.            </v>
          </cell>
          <cell r="E2201" t="str">
            <v>CP1501</v>
          </cell>
          <cell r="F2201" t="str">
            <v>2.1.5.</v>
          </cell>
          <cell r="G2201" t="str">
            <v xml:space="preserve">Tubos de aço carbono ASTM A-36/93, calandrados e soldados pelo processo do arco submerso, com pontas biseladas para solda em campo e/ou flangeadas. Revestimento interno e externo com tinta epoxi. DN 1000 esp. 3/8  </v>
          </cell>
          <cell r="H2201" t="str">
            <v xml:space="preserve">m     </v>
          </cell>
          <cell r="I2201">
            <v>344</v>
          </cell>
          <cell r="J2201">
            <v>2636.14</v>
          </cell>
          <cell r="K2201">
            <v>2212.65</v>
          </cell>
          <cell r="L2201">
            <v>906832.16</v>
          </cell>
        </row>
        <row r="2202">
          <cell r="D2202" t="str">
            <v xml:space="preserve">  N. 24.            </v>
          </cell>
          <cell r="E2202" t="str">
            <v>CP1525</v>
          </cell>
          <cell r="F2202" t="str">
            <v>2.1.6.</v>
          </cell>
          <cell r="G2202" t="str">
            <v xml:space="preserve">Tubos de aço carbono ASTM A-36/93, calandrados e soldados pelo processo do arco submerso, com pontas biseladas para solda em campo e/ou flangeadas. Revestimento interno e externo com tinta epoxi. DN  750 esp. 1/4  </v>
          </cell>
          <cell r="H2202" t="str">
            <v xml:space="preserve">m     </v>
          </cell>
          <cell r="I2202">
            <v>16</v>
          </cell>
          <cell r="J2202">
            <v>1392.28</v>
          </cell>
          <cell r="K2202">
            <v>1162.73</v>
          </cell>
          <cell r="L2202">
            <v>22276.48</v>
          </cell>
        </row>
        <row r="2203">
          <cell r="D2203" t="str">
            <v xml:space="preserve">  N. 25.            </v>
          </cell>
          <cell r="E2203" t="str">
            <v>CP1546</v>
          </cell>
          <cell r="F2203" t="str">
            <v>2.1.7.</v>
          </cell>
          <cell r="G2203" t="str">
            <v xml:space="preserve">Tubos de aço carbono ASTM A-36/93, calandrados e soldados pelo processo do arco submerso, com pontas biseladas para solda em campo e/ou flangeadas. Revestimento interno e externo com tinta epoxi. DN 600 esp. 1/4  </v>
          </cell>
          <cell r="H2203" t="str">
            <v xml:space="preserve">m     </v>
          </cell>
          <cell r="I2203">
            <v>16</v>
          </cell>
          <cell r="J2203">
            <v>1112.42</v>
          </cell>
          <cell r="K2203">
            <v>930.47</v>
          </cell>
          <cell r="L2203">
            <v>17798.72</v>
          </cell>
        </row>
        <row r="2204">
          <cell r="D2204" t="str">
            <v xml:space="preserve">  N. 26.            </v>
          </cell>
          <cell r="E2204" t="str">
            <v>CP1291</v>
          </cell>
          <cell r="F2204" t="str">
            <v>2.1.8.</v>
          </cell>
          <cell r="G2204" t="str">
            <v xml:space="preserve">Tubos de aço carbono ASTM A-36/93, calandrados e soldados pelo processo do arco submerso, com pontas biseladas para solda em campo e/ou flangeadas. Revestimento interno e externo com tinta epoxi. DN 2000 esp. 1/2, c/ pontas e aba de vedação, L= 1,65 m  </v>
          </cell>
          <cell r="H2204" t="str">
            <v xml:space="preserve">pç    </v>
          </cell>
          <cell r="I2204">
            <v>1</v>
          </cell>
          <cell r="J2204">
            <v>14878.57</v>
          </cell>
          <cell r="K2204">
            <v>17973.900000000001</v>
          </cell>
          <cell r="L2204">
            <v>14878.57</v>
          </cell>
        </row>
        <row r="2205">
          <cell r="D2205" t="str">
            <v xml:space="preserve">  N. 27.            </v>
          </cell>
          <cell r="E2205" t="str">
            <v>CP1346</v>
          </cell>
          <cell r="F2205" t="str">
            <v>2.1.9.</v>
          </cell>
          <cell r="G2205" t="str">
            <v xml:space="preserve">Tubos de aço carbono ASTM A-36/93, calandrados e soldados pelo processo do arco submerso, com pontas biseladas para solda em campo e/ou flangeadas. Revestimento interno e externo com tinta epoxi. DN 1400 esp. 3/8, c/ pontas e aba de vedação, L = 1,50 m  </v>
          </cell>
          <cell r="H2205" t="str">
            <v xml:space="preserve">pç    </v>
          </cell>
          <cell r="I2205">
            <v>4</v>
          </cell>
          <cell r="J2205">
            <v>8364.32</v>
          </cell>
          <cell r="K2205">
            <v>10104.75</v>
          </cell>
          <cell r="L2205">
            <v>33457.279999999999</v>
          </cell>
        </row>
        <row r="2206">
          <cell r="D2206" t="str">
            <v xml:space="preserve">  N. 28.            </v>
          </cell>
          <cell r="E2206" t="str">
            <v>CP1350</v>
          </cell>
          <cell r="F2206" t="str">
            <v>2.1.10.</v>
          </cell>
          <cell r="G2206" t="str">
            <v xml:space="preserve">Tubos de aço carbono ASTM A-36/93, calandrados e soldados pelo processo do arco submerso, com pontas biseladas para solda em campo e/ou flangeadas. Revestimento interno e externo com tinta epoxi. DN 1200 esp. 3/8, c/ pontas e aba de vedação, L = 1,65 m  </v>
          </cell>
          <cell r="H2206" t="str">
            <v xml:space="preserve">pç    </v>
          </cell>
          <cell r="I2206">
            <v>2</v>
          </cell>
          <cell r="J2206">
            <v>8051.64</v>
          </cell>
          <cell r="K2206">
            <v>9725.4</v>
          </cell>
          <cell r="L2206">
            <v>16103.28</v>
          </cell>
        </row>
        <row r="2207">
          <cell r="D2207" t="str">
            <v xml:space="preserve">  N. 29.            </v>
          </cell>
          <cell r="E2207" t="str">
            <v>CP1354</v>
          </cell>
          <cell r="F2207" t="str">
            <v>2.1.11.</v>
          </cell>
          <cell r="G2207" t="str">
            <v xml:space="preserve">Tubos de aço carbono ASTM A-36/93, calandrados e soldados pelo processo do arco submerso, com pontas biseladas para solda em campo e/ou flangeadas. Revestimento interno e externo com tinta epoxi. DN 900 esp. 3/8, c/ pontas e aba de vedação, L = 2,00 m  </v>
          </cell>
          <cell r="H2207" t="str">
            <v xml:space="preserve">pç    </v>
          </cell>
          <cell r="I2207">
            <v>2</v>
          </cell>
          <cell r="J2207">
            <v>7452.34</v>
          </cell>
          <cell r="K2207">
            <v>8108.28</v>
          </cell>
          <cell r="L2207">
            <v>14904.68</v>
          </cell>
        </row>
        <row r="2208">
          <cell r="D2208" t="str">
            <v xml:space="preserve">  N. 30.            </v>
          </cell>
          <cell r="E2208" t="str">
            <v>CP1422</v>
          </cell>
          <cell r="F2208" t="str">
            <v>2.1.12.</v>
          </cell>
          <cell r="G2208" t="str">
            <v xml:space="preserve">Tubos de aço carbono ASTM A-36/93, calandrados e soldados pelo processo do arco submerso, com pontas biseladas para solda em campo e/ou flangeadas. Revestimento interno e externo com tinta epoxi. DN 600 , esp. 3/8, c/ pontas e aba de vedação, L = 1,60m  </v>
          </cell>
          <cell r="H2208" t="str">
            <v xml:space="preserve">pç    </v>
          </cell>
          <cell r="I2208">
            <v>2</v>
          </cell>
          <cell r="J2208">
            <v>3960.67</v>
          </cell>
          <cell r="K2208">
            <v>4784.3999999999996</v>
          </cell>
          <cell r="L2208">
            <v>7921.34</v>
          </cell>
        </row>
        <row r="2209">
          <cell r="D2209" t="str">
            <v xml:space="preserve">  N. 31.            </v>
          </cell>
          <cell r="E2209" t="str">
            <v>CP1413</v>
          </cell>
          <cell r="F2209" t="str">
            <v>2.1.13.</v>
          </cell>
          <cell r="G2209" t="str">
            <v xml:space="preserve">Tubos de aço carbono ASTM A-36/93, calandrados e soldados pelo processo do arco submerso, com pontas biseladas para solda em campo e/ou flangeadas. Revestimento interno e externo com tinta epoxi. DN 600, esp. 3/8, c/ pontas e aba de vedação, L= 1,80 m  </v>
          </cell>
          <cell r="H2209" t="str">
            <v xml:space="preserve">pç    </v>
          </cell>
          <cell r="I2209">
            <v>10</v>
          </cell>
          <cell r="J2209">
            <v>4411.46</v>
          </cell>
          <cell r="K2209">
            <v>5328.45</v>
          </cell>
          <cell r="L2209">
            <v>44114.6</v>
          </cell>
        </row>
        <row r="2210">
          <cell r="D2210" t="str">
            <v xml:space="preserve">  N. 32.            </v>
          </cell>
          <cell r="E2210" t="str">
            <v>CP1393</v>
          </cell>
          <cell r="F2210" t="str">
            <v>2.1.14.</v>
          </cell>
          <cell r="G2210" t="str">
            <v xml:space="preserve">Tubos de aço carbono ASTM A-36/93, calandrados e soldados pelo processo do arco submerso, com pontas biseladas para solda em campo e/ou flangeadas. Revestimento interno e externo com tinta epoxi. DN 1200 esp. 3/8,  L = 0,50 com flange e ponta  </v>
          </cell>
          <cell r="H2210" t="str">
            <v xml:space="preserve">pç    </v>
          </cell>
          <cell r="I2210">
            <v>4</v>
          </cell>
          <cell r="J2210">
            <v>16181.42</v>
          </cell>
          <cell r="K2210">
            <v>19548.38</v>
          </cell>
          <cell r="L2210">
            <v>64725.68</v>
          </cell>
        </row>
        <row r="2211">
          <cell r="D2211" t="str">
            <v xml:space="preserve">  N. 33.            </v>
          </cell>
          <cell r="E2211" t="str">
            <v>CP1351</v>
          </cell>
          <cell r="F2211" t="str">
            <v>2.1.15.</v>
          </cell>
          <cell r="G2211" t="str">
            <v xml:space="preserve">Tubos de aço carbono ASTM A-36/93, calandrados e soldados pelo processo do arco submerso, com pontas biseladas para solda em campo e/ou flangeadas. Revestimento interno e externo com tinta epoxi. DN 2000 esp. 1/2, L = 0,50 m, ponta e flange  </v>
          </cell>
          <cell r="H2211" t="str">
            <v xml:space="preserve">pç    </v>
          </cell>
          <cell r="I2211">
            <v>3</v>
          </cell>
          <cell r="J2211">
            <v>22513.279999999999</v>
          </cell>
          <cell r="K2211">
            <v>27197.759999999998</v>
          </cell>
          <cell r="L2211">
            <v>67539.839999999997</v>
          </cell>
        </row>
        <row r="2212">
          <cell r="D2212" t="str">
            <v xml:space="preserve">  N. 34.            </v>
          </cell>
          <cell r="E2212" t="str">
            <v>CP1285</v>
          </cell>
          <cell r="F2212" t="str">
            <v>2.1.16.</v>
          </cell>
          <cell r="G2212" t="str">
            <v xml:space="preserve">Tubos de aço carbono ASTM A-36/93, calandrados e soldados pelo processo do arco submerso, com pontas biseladas para solda em campo e/ou flangeadas. Revestimento interno e externo com tinta epoxi. DN 2000, esp. 1/2, L = 1,50 m, c/ pontas e aba de vedação  </v>
          </cell>
          <cell r="H2212" t="str">
            <v xml:space="preserve">pç    </v>
          </cell>
          <cell r="I2212">
            <v>2</v>
          </cell>
          <cell r="J2212">
            <v>14779.56</v>
          </cell>
          <cell r="K2212">
            <v>15254.95</v>
          </cell>
          <cell r="L2212">
            <v>29559.119999999999</v>
          </cell>
        </row>
        <row r="2213">
          <cell r="D2213" t="str">
            <v xml:space="preserve">  N. 35.            </v>
          </cell>
          <cell r="E2213" t="str">
            <v>CP1317</v>
          </cell>
          <cell r="F2213" t="str">
            <v>2.1.17.</v>
          </cell>
          <cell r="G2213" t="str">
            <v xml:space="preserve">Tubos de aço carbono ASTM A-36/93, calandrados e soldados pelo processo do arco submerso, com pontas biseladas para solda em campo e/ou flangeadas. Revestimento interno e externo com tinta epoxi. DN 1800 esp. 3/8, L = 0,50 m, flange e ponta  </v>
          </cell>
          <cell r="H2213" t="str">
            <v xml:space="preserve">pç    </v>
          </cell>
          <cell r="I2213">
            <v>1</v>
          </cell>
          <cell r="J2213">
            <v>18429.009999999998</v>
          </cell>
          <cell r="K2213">
            <v>19611.919999999998</v>
          </cell>
          <cell r="L2213">
            <v>18429.009999999998</v>
          </cell>
        </row>
        <row r="2214">
          <cell r="D2214" t="str">
            <v xml:space="preserve">  N. 36.            </v>
          </cell>
          <cell r="E2214" t="str">
            <v>CP1394</v>
          </cell>
          <cell r="F2214" t="str">
            <v>2.1.18.</v>
          </cell>
          <cell r="G2214" t="str">
            <v xml:space="preserve">Tubos de aço carbono ASTM A-36/93, calandrados e soldados pelo processo do arco submerso, com pontas biseladas para solda em campo e/ou flangeadas. Revestimento interno e externo com tinta epoxi. DN 900  esp. 3/8, L = 0,50 m, flange e ponta  </v>
          </cell>
          <cell r="H2214" t="str">
            <v xml:space="preserve">pç    </v>
          </cell>
          <cell r="I2214">
            <v>4</v>
          </cell>
          <cell r="J2214">
            <v>7587.81</v>
          </cell>
          <cell r="K2214">
            <v>9166.66</v>
          </cell>
          <cell r="L2214">
            <v>30351.24</v>
          </cell>
        </row>
        <row r="2215">
          <cell r="D2215" t="str">
            <v xml:space="preserve">  N. 37.            </v>
          </cell>
          <cell r="E2215" t="str">
            <v>CP1397</v>
          </cell>
          <cell r="F2215" t="str">
            <v>2.1.19.</v>
          </cell>
          <cell r="G2215" t="str">
            <v xml:space="preserve">Tubos de aço carbono ASTM A-36/93, calandrados e soldados pelo processo do arco submerso, com pontas biseladas para solda em campo e/ou flangeadas. Revestimento interno e externo com tinta epoxi. DN 1000 esp. 3/8, L = 1,00 m, c/ pontas e aba de vedação  </v>
          </cell>
          <cell r="H2215" t="str">
            <v xml:space="preserve">pç    </v>
          </cell>
          <cell r="I2215">
            <v>8</v>
          </cell>
          <cell r="J2215">
            <v>4325.49</v>
          </cell>
          <cell r="K2215">
            <v>5225.5</v>
          </cell>
          <cell r="L2215">
            <v>34603.919999999998</v>
          </cell>
        </row>
        <row r="2216">
          <cell r="D2216" t="str">
            <v xml:space="preserve">  N. 38.            </v>
          </cell>
          <cell r="E2216" t="str">
            <v xml:space="preserve">      </v>
          </cell>
          <cell r="F2216" t="str">
            <v>2.2.</v>
          </cell>
          <cell r="G2216" t="str">
            <v xml:space="preserve">Peças e conexões em aço carbono ASTM A-36/93, calandradas e soldadas pelo processo do arco submerso, com pontas biseladas para solda em campo e/ou flangeadas. Revestimento interno e externo com tinta epoxi  </v>
          </cell>
          <cell r="H2216" t="str">
            <v xml:space="preserve">      </v>
          </cell>
          <cell r="I2216">
            <v>0</v>
          </cell>
          <cell r="J2216">
            <v>0</v>
          </cell>
          <cell r="K2216">
            <v>0</v>
          </cell>
          <cell r="L2216">
            <v>0</v>
          </cell>
        </row>
        <row r="2217">
          <cell r="D2217" t="str">
            <v xml:space="preserve">  N. 39.            </v>
          </cell>
          <cell r="E2217" t="str">
            <v xml:space="preserve">      </v>
          </cell>
          <cell r="F2217" t="str">
            <v>2.2.1.</v>
          </cell>
          <cell r="G2217" t="str">
            <v xml:space="preserve">Peças e conexões em aço carbono ASTM A-36/93, calandradas e soldadas pelo processo do arco submerso, com pontas biseladas para solda em campo e/ou flangeadas. Revestimento interno e externo com tinta epoxi Curvas  </v>
          </cell>
          <cell r="H2217" t="str">
            <v xml:space="preserve">      </v>
          </cell>
          <cell r="I2217">
            <v>0</v>
          </cell>
          <cell r="J2217">
            <v>0</v>
          </cell>
          <cell r="K2217">
            <v>0</v>
          </cell>
          <cell r="L2217">
            <v>0</v>
          </cell>
        </row>
        <row r="2218">
          <cell r="D2218" t="str">
            <v xml:space="preserve">  N. 40.            </v>
          </cell>
          <cell r="E2218" t="str">
            <v>CP1249</v>
          </cell>
          <cell r="F2218" t="str">
            <v>2.2.1.1.</v>
          </cell>
          <cell r="G2218" t="str">
            <v xml:space="preserve">Peças e conexões em aço carbono ASTM A-36/93, calandradas e soldadas pelo processo do arco submerso, com pontas biseladas para solda em campo e/ou flangeadas. Revestimento interno e externo com tinta epoxi Curva 90o DN 2000 esp. 1/2, com pontas  </v>
          </cell>
          <cell r="H2218" t="str">
            <v xml:space="preserve">pç    </v>
          </cell>
          <cell r="I2218">
            <v>3</v>
          </cell>
          <cell r="J2218">
            <v>53075.12</v>
          </cell>
          <cell r="K2218">
            <v>50942.28</v>
          </cell>
          <cell r="L2218">
            <v>159225.35999999999</v>
          </cell>
        </row>
        <row r="2219">
          <cell r="D2219" t="str">
            <v xml:space="preserve">  N. 41.            </v>
          </cell>
          <cell r="E2219" t="str">
            <v>CP1295</v>
          </cell>
          <cell r="F2219" t="str">
            <v>2.2.1.2.</v>
          </cell>
          <cell r="G2219" t="str">
            <v xml:space="preserve">Peças e conexões em aço carbono ASTM A-36/93, calandradas e soldadas pelo processo do arco submerso, com pontas biseladas para solda em campo e/ou flangeadas. Revestimento interno e externo com tinta epoxi Curva 90o DN 1400 esp. 3/8, com pontas  </v>
          </cell>
          <cell r="H2219" t="str">
            <v xml:space="preserve">pç    </v>
          </cell>
          <cell r="I2219">
            <v>4</v>
          </cell>
          <cell r="J2219">
            <v>14042.79</v>
          </cell>
          <cell r="K2219">
            <v>17754.09</v>
          </cell>
          <cell r="L2219">
            <v>56171.16</v>
          </cell>
        </row>
        <row r="2220">
          <cell r="D2220" t="str">
            <v xml:space="preserve">  N. 42.            </v>
          </cell>
          <cell r="E2220" t="str">
            <v>CP1318</v>
          </cell>
          <cell r="F2220" t="str">
            <v>2.2.1.3.</v>
          </cell>
          <cell r="G2220" t="str">
            <v xml:space="preserve">Peças e conexões em aço carbono ASTM A-36/93, calandradas e soldadas pelo processo do arco submerso, com pontas biseladas para solda em campo e/ou flangeadas. Revestimento interno e externo com tinta epoxi Curva 90o DN 1200 esp. 3/8, com pontas  </v>
          </cell>
          <cell r="H2220" t="str">
            <v xml:space="preserve">pç    </v>
          </cell>
          <cell r="I2220">
            <v>2</v>
          </cell>
          <cell r="J2220">
            <v>11328.85</v>
          </cell>
          <cell r="K2220">
            <v>14322.91</v>
          </cell>
          <cell r="L2220">
            <v>22657.7</v>
          </cell>
        </row>
        <row r="2221">
          <cell r="D2221" t="str">
            <v xml:space="preserve">  N. 43.            </v>
          </cell>
          <cell r="E2221" t="str">
            <v>CP1345</v>
          </cell>
          <cell r="F2221" t="str">
            <v>2.2.1.4.</v>
          </cell>
          <cell r="G2221" t="str">
            <v xml:space="preserve">Peças e conexões em aço carbono ASTM A-36/93, calandradas e soldadas pelo processo do arco submerso, com pontas biseladas para solda em campo e/ou flangeadas. Revestimento interno e externo com tinta epoxi Curva 90o DN 1000 esp. 3/8, com pontas  </v>
          </cell>
          <cell r="H2221" t="str">
            <v xml:space="preserve">pç    </v>
          </cell>
          <cell r="I2221">
            <v>3</v>
          </cell>
          <cell r="J2221">
            <v>8688.77</v>
          </cell>
          <cell r="K2221">
            <v>10992.42</v>
          </cell>
          <cell r="L2221">
            <v>26066.31</v>
          </cell>
        </row>
        <row r="2222">
          <cell r="D2222" t="str">
            <v xml:space="preserve">  N. 44.            </v>
          </cell>
          <cell r="E2222" t="str">
            <v>CP1448</v>
          </cell>
          <cell r="F2222" t="str">
            <v>2.2.1.5.</v>
          </cell>
          <cell r="G2222" t="str">
            <v xml:space="preserve">Peças e conexões em aço carbono ASTM A-36/93, calandradas e soldadas pelo processo do arco submerso, com pontas biseladas para solda em campo e/ou flangeadas. Revestimento interno e externo com tinta epoxi Curva 90o DN 600 esp. 1/4, com pontas  </v>
          </cell>
          <cell r="H2222" t="str">
            <v xml:space="preserve">pç    </v>
          </cell>
          <cell r="I2222">
            <v>2</v>
          </cell>
          <cell r="J2222">
            <v>2938.05</v>
          </cell>
          <cell r="K2222">
            <v>3154.72</v>
          </cell>
          <cell r="L2222">
            <v>5876.1</v>
          </cell>
        </row>
        <row r="2223">
          <cell r="D2223" t="str">
            <v xml:space="preserve">  N. 45.            </v>
          </cell>
          <cell r="E2223" t="str">
            <v>CP1549</v>
          </cell>
          <cell r="F2223" t="str">
            <v>2.2.1.6.</v>
          </cell>
          <cell r="G2223" t="str">
            <v xml:space="preserve">Peças e conexões em aço carbono ASTM A-36/93, calandradas e soldadas pelo processo do arco submerso, com pontas biseladas para solda em campo e/ou flangeadas. Revestimento interno e externo com tinta epoxi Curva 90o DN 250 esp. 3/16, com pontas  </v>
          </cell>
          <cell r="H2223" t="str">
            <v xml:space="preserve">pç    </v>
          </cell>
          <cell r="I2223">
            <v>2</v>
          </cell>
          <cell r="J2223">
            <v>1227.52</v>
          </cell>
          <cell r="K2223">
            <v>1551.92</v>
          </cell>
          <cell r="L2223">
            <v>2455.04</v>
          </cell>
        </row>
        <row r="2224">
          <cell r="D2224" t="str">
            <v xml:space="preserve">  N. 46.            </v>
          </cell>
          <cell r="E2224" t="str">
            <v>CP1262</v>
          </cell>
          <cell r="F2224" t="str">
            <v>2.2.1.7.</v>
          </cell>
          <cell r="G2224" t="str">
            <v xml:space="preserve">Peças e conexões em aço carbono ASTM A-36/93, calandradas e soldadas pelo processo do arco submerso, com pontas biseladas para solda em campo e/ou flangeadas. Revestimento interno e externo com tinta epoxi Curva 68o  esp. 3/8DN 1800 com pontas  </v>
          </cell>
          <cell r="H2224" t="str">
            <v xml:space="preserve">pç    </v>
          </cell>
          <cell r="I2224">
            <v>1</v>
          </cell>
          <cell r="J2224">
            <v>27744.48</v>
          </cell>
          <cell r="K2224">
            <v>35076.92</v>
          </cell>
          <cell r="L2224">
            <v>27744.48</v>
          </cell>
        </row>
        <row r="2225">
          <cell r="D2225" t="str">
            <v xml:space="preserve">  N. 47.            </v>
          </cell>
          <cell r="E2225" t="str">
            <v>CP1348</v>
          </cell>
          <cell r="F2225" t="str">
            <v>2.2.1.8.</v>
          </cell>
          <cell r="G2225" t="str">
            <v xml:space="preserve">Peças e conexões em aço carbono ASTM A-36/93, calandradas e soldadas pelo processo do arco submerso, com pontas biseladas para solda em campo e/ou flangeadas. Revestimento interno e externo com tinta epoxi Curva 45o DN 1400 esp. 3/8, com pontas  </v>
          </cell>
          <cell r="H2225" t="str">
            <v xml:space="preserve">pç    </v>
          </cell>
          <cell r="I2225">
            <v>4</v>
          </cell>
          <cell r="J2225">
            <v>8428.17</v>
          </cell>
          <cell r="K2225">
            <v>10655.59</v>
          </cell>
          <cell r="L2225">
            <v>33712.68</v>
          </cell>
        </row>
        <row r="2226">
          <cell r="D2226" t="str">
            <v xml:space="preserve">  N. 48.            </v>
          </cell>
          <cell r="E2226" t="str">
            <v>CP1377</v>
          </cell>
          <cell r="F2226" t="str">
            <v>2.2.1.9.</v>
          </cell>
          <cell r="G2226" t="str">
            <v xml:space="preserve">Peças e conexões em aço carbono ASTM A-36/93, calandradas e soldadas pelo processo do arco submerso, com pontas biseladas para solda em campo e/ou flangeadas. Revestimento interno e externo com tinta epoxi Curva 45o DN 1000 esp. 3/8, com pontas  </v>
          </cell>
          <cell r="H2226" t="str">
            <v xml:space="preserve">pç    </v>
          </cell>
          <cell r="I2226">
            <v>4</v>
          </cell>
          <cell r="J2226">
            <v>5278.46</v>
          </cell>
          <cell r="K2226">
            <v>6673.54</v>
          </cell>
          <cell r="L2226">
            <v>21113.84</v>
          </cell>
        </row>
        <row r="2227">
          <cell r="D2227" t="str">
            <v xml:space="preserve">  N. 49.            </v>
          </cell>
          <cell r="E2227" t="str">
            <v>CP1301</v>
          </cell>
          <cell r="F2227" t="str">
            <v>2.2.1.10.</v>
          </cell>
          <cell r="G2227" t="str">
            <v xml:space="preserve">Peças e conexões em aço carbono ASTM A-36/93, calandradas e soldadas pelo processo do arco submerso, com pontas biseladas para solda em campo e/ou flangeadas. Revestimento interno e externo com tinta epoxi Curva 24o 21' DN 1800 esp. 3/8, com pontas  </v>
          </cell>
          <cell r="H2227" t="str">
            <v xml:space="preserve">pç    </v>
          </cell>
          <cell r="I2227">
            <v>3</v>
          </cell>
          <cell r="J2227">
            <v>13557.27</v>
          </cell>
          <cell r="K2227">
            <v>17140.25</v>
          </cell>
          <cell r="L2227">
            <v>40671.81</v>
          </cell>
        </row>
        <row r="2228">
          <cell r="D2228" t="str">
            <v xml:space="preserve">  N. 50.            </v>
          </cell>
          <cell r="E2228" t="str">
            <v xml:space="preserve">      </v>
          </cell>
          <cell r="F2228" t="str">
            <v>2.2.2.</v>
          </cell>
          <cell r="G2228" t="str">
            <v xml:space="preserve">Peças e conexões em aço carbono ASTM A-36/93, calandradas e soldadas pelo processo do arco submerso, com pontas biseladas para solda em campo e/ou flangeadas. Revestimento interno e externo com tinta epoxi Tês  </v>
          </cell>
          <cell r="H2228" t="str">
            <v xml:space="preserve">      </v>
          </cell>
          <cell r="I2228">
            <v>0</v>
          </cell>
          <cell r="J2228">
            <v>0</v>
          </cell>
          <cell r="K2228">
            <v>0</v>
          </cell>
          <cell r="L2228">
            <v>0</v>
          </cell>
        </row>
        <row r="2229">
          <cell r="D2229" t="str">
            <v xml:space="preserve">  N. 51.            </v>
          </cell>
          <cell r="E2229" t="str">
            <v>CP1209</v>
          </cell>
          <cell r="F2229" t="str">
            <v>2.2.2.1.</v>
          </cell>
          <cell r="G2229" t="str">
            <v xml:space="preserve">Peças e conexões em aço carbono ASTM A-36/93, calandradas e soldadas pelo processo do arco submerso, com pontas biseladas para solda em campo e/ou flangeadas. Revestimento interno e externo com tinta epoxi Tês DN 2000 x 2000 esp. 1/2 com flanges e ponta  </v>
          </cell>
          <cell r="H2229" t="str">
            <v xml:space="preserve">pç    </v>
          </cell>
          <cell r="I2229">
            <v>2</v>
          </cell>
          <cell r="J2229">
            <v>109920.99</v>
          </cell>
          <cell r="K2229">
            <v>129126.39</v>
          </cell>
          <cell r="L2229">
            <v>219841.98</v>
          </cell>
        </row>
        <row r="2230">
          <cell r="D2230" t="str">
            <v xml:space="preserve">  N. 52.            </v>
          </cell>
          <cell r="E2230" t="str">
            <v>CP1230</v>
          </cell>
          <cell r="F2230" t="str">
            <v>2.2.2.2.</v>
          </cell>
          <cell r="G2230" t="str">
            <v xml:space="preserve">Peças e conexões em aço carbono ASTM A-36/93, calandradas e soldadas pelo processo do arco submerso, com pontas biseladas para solda em campo e/ou flangeadas. Revestimento interno e externo com tinta epoxi Tês DN 2000 x 1800 esp. 1/2  </v>
          </cell>
          <cell r="H2230" t="str">
            <v xml:space="preserve">pç    </v>
          </cell>
          <cell r="I2230">
            <v>1</v>
          </cell>
          <cell r="J2230">
            <v>57562</v>
          </cell>
          <cell r="K2230">
            <v>72779.199999999997</v>
          </cell>
          <cell r="L2230">
            <v>57562</v>
          </cell>
        </row>
        <row r="2231">
          <cell r="D2231" t="str">
            <v xml:space="preserve">  N. 53.            </v>
          </cell>
          <cell r="E2231" t="str">
            <v>CP1223</v>
          </cell>
          <cell r="F2231" t="str">
            <v>2.2.2.3.</v>
          </cell>
          <cell r="G2231" t="str">
            <v>Peças e conexões em aço carbono ASTM A-36/93, calandradas e soldadas pelo processo do arco submerso, com pontas biseladas para solda em campo e/ou flangeadas. Revestimento interno e externo com tinta epoxi Tês DN 1800 x 1800 mm esp. 1/2, com flange e pont</v>
          </cell>
          <cell r="H2231" t="str">
            <v xml:space="preserve">pç    </v>
          </cell>
          <cell r="I2231">
            <v>1</v>
          </cell>
          <cell r="J2231">
            <v>68077.649999999994</v>
          </cell>
          <cell r="K2231">
            <v>86069.57</v>
          </cell>
          <cell r="L2231">
            <v>68077.649999999994</v>
          </cell>
        </row>
        <row r="2232">
          <cell r="D2232" t="str">
            <v xml:space="preserve">  N. 54.            </v>
          </cell>
          <cell r="E2232" t="str">
            <v>CP1227</v>
          </cell>
          <cell r="F2232" t="str">
            <v>2.2.2.4.</v>
          </cell>
          <cell r="G2232" t="str">
            <v xml:space="preserve">Peças e conexões em aço carbono ASTM A-36/93, calandradas e soldadas pelo processo do arco submerso, com pontas biseladas para solda em campo e/ou flangeadas. Revestimento interno e externo com tinta epoxi Tês DN 1800 x 1200 esp. 1/2, com flange e pontas </v>
          </cell>
          <cell r="H2232" t="str">
            <v xml:space="preserve">pç    </v>
          </cell>
          <cell r="I2232">
            <v>2</v>
          </cell>
          <cell r="J2232">
            <v>54162.59</v>
          </cell>
          <cell r="K2232">
            <v>77375.13</v>
          </cell>
          <cell r="L2232">
            <v>108325.18</v>
          </cell>
        </row>
        <row r="2233">
          <cell r="D2233" t="str">
            <v xml:space="preserve">  N. 55.            </v>
          </cell>
          <cell r="E2233" t="str">
            <v>CP1258</v>
          </cell>
          <cell r="F2233" t="str">
            <v>2.2.2.5.</v>
          </cell>
          <cell r="G2233" t="str">
            <v xml:space="preserve">Peças e conexões em aço carbono ASTM A-36/93, calandradas e soldadas pelo processo do arco submerso, com pontas biseladas para solda em campo e/ou flangeadas. Revestimento interno e externo com tinta epoxi Tês DN 1400 x 1400 esp. 3/8, com pontas  </v>
          </cell>
          <cell r="H2233" t="str">
            <v xml:space="preserve">pç    </v>
          </cell>
          <cell r="I2233">
            <v>4</v>
          </cell>
          <cell r="J2233">
            <v>44269.45</v>
          </cell>
          <cell r="K2233">
            <v>46658.01</v>
          </cell>
          <cell r="L2233">
            <v>177077.8</v>
          </cell>
        </row>
        <row r="2234">
          <cell r="D2234" t="str">
            <v xml:space="preserve">  N. 56.            </v>
          </cell>
          <cell r="E2234" t="str">
            <v>CP1264</v>
          </cell>
          <cell r="F2234" t="str">
            <v>2.2.2.6.</v>
          </cell>
          <cell r="G2234" t="str">
            <v xml:space="preserve">Peças e conexões em aço carbono ASTM A-36/93, calandradas e soldadas pelo processo do arco submerso, com pontas biseladas para solda em campo e/ou flangeadas. Revestimento interno e externo com tinta epoxi Tês DN 1400 x 900 esp. 3/8, com pontas  </v>
          </cell>
          <cell r="H2234" t="str">
            <v xml:space="preserve">pç    </v>
          </cell>
          <cell r="I2234">
            <v>2</v>
          </cell>
          <cell r="J2234">
            <v>31296.25</v>
          </cell>
          <cell r="K2234">
            <v>39600.44</v>
          </cell>
          <cell r="L2234">
            <v>62592.5</v>
          </cell>
        </row>
        <row r="2235">
          <cell r="D2235" t="str">
            <v xml:space="preserve">  N. 57.            </v>
          </cell>
          <cell r="E2235" t="str">
            <v>CP1270</v>
          </cell>
          <cell r="F2235" t="str">
            <v>2.2.2.7.</v>
          </cell>
          <cell r="G2235" t="str">
            <v xml:space="preserve">Peças e conexões em aço carbono ASTM A-36/93, calandradas e soldadas pelo processo do arco submerso, com pontas biseladas para solda em campo e/ou flangeadas. Revestimento interno e externo com tinta epoxi Tês DN 1400 x 600 esp. 3/8, com pontas  </v>
          </cell>
          <cell r="H2235" t="str">
            <v xml:space="preserve">pç    </v>
          </cell>
          <cell r="I2235">
            <v>6</v>
          </cell>
          <cell r="J2235">
            <v>21607.83</v>
          </cell>
          <cell r="K2235">
            <v>28770.82</v>
          </cell>
          <cell r="L2235">
            <v>129646.98</v>
          </cell>
        </row>
        <row r="2236">
          <cell r="D2236" t="str">
            <v xml:space="preserve">  N. 58.            </v>
          </cell>
          <cell r="E2236" t="str">
            <v>CP1343</v>
          </cell>
          <cell r="F2236" t="str">
            <v>2.2.2.8.</v>
          </cell>
          <cell r="G2236" t="str">
            <v xml:space="preserve">Peças e conexões em aço carbono ASTM A-36/93, calandradas e soldadas pelo processo do arco submerso, com pontas biseladas para solda em campo e/ou flangeadas. Revestimento interno e externo com tinta epoxi Tês DN 1200 x 600 esp. 3/8, com pontas  </v>
          </cell>
          <cell r="H2236" t="str">
            <v xml:space="preserve">pç    </v>
          </cell>
          <cell r="I2236">
            <v>2</v>
          </cell>
          <cell r="J2236">
            <v>10467.370000000001</v>
          </cell>
          <cell r="K2236">
            <v>13233.73</v>
          </cell>
          <cell r="L2236">
            <v>20934.740000000002</v>
          </cell>
        </row>
        <row r="2237">
          <cell r="D2237" t="str">
            <v xml:space="preserve">  N. 59.            </v>
          </cell>
          <cell r="E2237" t="str">
            <v>CP1327</v>
          </cell>
          <cell r="F2237" t="str">
            <v>2.2.2.9.</v>
          </cell>
          <cell r="G2237" t="str">
            <v xml:space="preserve">Peças e conexões em aço carbono ASTM A-36/93, calandradas e soldadas pelo processo do arco submerso, com pontas biseladas para solda em campo e/ou flangeadas. Revestimento interno e externo com tinta epoxi Tês DN 1000 x 600 esp. 3/8, com pontas  </v>
          </cell>
          <cell r="H2237" t="str">
            <v xml:space="preserve">pç    </v>
          </cell>
          <cell r="I2237">
            <v>2</v>
          </cell>
          <cell r="J2237">
            <v>11779.51</v>
          </cell>
          <cell r="K2237">
            <v>14892.69</v>
          </cell>
          <cell r="L2237">
            <v>23559.02</v>
          </cell>
        </row>
        <row r="2238">
          <cell r="D2238" t="str">
            <v xml:space="preserve">  N. 60.            </v>
          </cell>
          <cell r="E2238" t="str">
            <v>CP1371</v>
          </cell>
          <cell r="F2238" t="str">
            <v>2.2.2.10.</v>
          </cell>
          <cell r="G2238" t="str">
            <v xml:space="preserve">Peças e conexões em aço carbono ASTM A-36/93, calandradas e soldadas pelo processo do arco submerso, com pontas biseladas para solda em campo e/ou flangeadas. Revestimento interno e externo com tinta epoxi Tês DN 900 x 800 esp. 3/8, com pontas  </v>
          </cell>
          <cell r="H2238" t="str">
            <v xml:space="preserve">pç    </v>
          </cell>
          <cell r="I2238">
            <v>2</v>
          </cell>
          <cell r="J2238">
            <v>7823.12</v>
          </cell>
          <cell r="K2238">
            <v>9890.65</v>
          </cell>
          <cell r="L2238">
            <v>15646.24</v>
          </cell>
        </row>
        <row r="2239">
          <cell r="D2239" t="str">
            <v xml:space="preserve">  N. 61.            </v>
          </cell>
          <cell r="E2239" t="str">
            <v>CP1399</v>
          </cell>
          <cell r="F2239" t="str">
            <v>2.2.2.11.</v>
          </cell>
          <cell r="G2239" t="str">
            <v xml:space="preserve">Peças e conexões em aço carbono ASTM A-36/93, calandradas e soldadas pelo processo do arco submerso, com pontas biseladas para solda em campo e/ou flangeadas. Revestimento interno e externo com tinta epoxi Tês DN 750 x 600 esp. 3/8, com pontas  </v>
          </cell>
          <cell r="H2239" t="str">
            <v xml:space="preserve">pç    </v>
          </cell>
          <cell r="I2239">
            <v>2</v>
          </cell>
          <cell r="J2239">
            <v>5522.5</v>
          </cell>
          <cell r="K2239">
            <v>6982.01</v>
          </cell>
          <cell r="L2239">
            <v>11045</v>
          </cell>
        </row>
        <row r="2240">
          <cell r="D2240" t="str">
            <v xml:space="preserve">  N. 62.            </v>
          </cell>
          <cell r="E2240" t="str">
            <v xml:space="preserve">      </v>
          </cell>
          <cell r="F2240" t="str">
            <v>2.2.3.</v>
          </cell>
          <cell r="G2240" t="str">
            <v xml:space="preserve">Peças e conexões em aço carbono ASTM A-36/93, calandradas e soldadas pelo processo do arco submerso, com pontas biseladas para solda em campo e/ou flangeadas. Revestimento interno e externo com tinta epoxi Redução concêntrica  </v>
          </cell>
          <cell r="H2240" t="str">
            <v xml:space="preserve">      </v>
          </cell>
          <cell r="I2240">
            <v>0</v>
          </cell>
          <cell r="J2240">
            <v>0</v>
          </cell>
          <cell r="K2240">
            <v>0</v>
          </cell>
          <cell r="L2240">
            <v>0</v>
          </cell>
        </row>
        <row r="2241">
          <cell r="D2241" t="str">
            <v xml:space="preserve">  N. 63.            </v>
          </cell>
          <cell r="E2241" t="str">
            <v>CP1271</v>
          </cell>
          <cell r="F2241" t="str">
            <v>2.2.3.1.</v>
          </cell>
          <cell r="G2241" t="str">
            <v xml:space="preserve">Peças e conexões em aço carbono ASTM A-36/93, calandradas e soldadas pelo processo do arco submerso, com pontas biseladas para solda em campo e/ou flangeadas. Revestimento interno e externo com tinta epoxi Redução concêntrica DN 1800 x 1200 esp. 1/2, com </v>
          </cell>
          <cell r="H2241" t="str">
            <v xml:space="preserve">pç    </v>
          </cell>
          <cell r="I2241">
            <v>1</v>
          </cell>
          <cell r="J2241">
            <v>29056.63</v>
          </cell>
          <cell r="K2241">
            <v>36735.86</v>
          </cell>
          <cell r="L2241">
            <v>29056.63</v>
          </cell>
        </row>
        <row r="2242">
          <cell r="D2242" t="str">
            <v xml:space="preserve">  N. 64.            </v>
          </cell>
          <cell r="E2242" t="str">
            <v>CP0624</v>
          </cell>
          <cell r="F2242" t="str">
            <v>2.2.3.2.</v>
          </cell>
          <cell r="G2242" t="str">
            <v xml:space="preserve">Peças e conexões em aço carbono ASTM A-36/93, calandradas e soldadas pelo processo do arco submerso, com pontas biseladas para solda em campo e/ou flangeadas. Revestimento interno e externo com tinta epoxi Redução concêntrica DN 1400 x 1200 esp. 3/8, com </v>
          </cell>
          <cell r="H2242" t="str">
            <v xml:space="preserve">pç    </v>
          </cell>
          <cell r="I2242">
            <v>2</v>
          </cell>
          <cell r="J2242">
            <v>6971.6</v>
          </cell>
          <cell r="K2242">
            <v>8814.08</v>
          </cell>
          <cell r="L2242">
            <v>13943.2</v>
          </cell>
        </row>
        <row r="2243">
          <cell r="D2243" t="str">
            <v xml:space="preserve">  N. 65.            </v>
          </cell>
          <cell r="E2243" t="str">
            <v>CP0626</v>
          </cell>
          <cell r="F2243" t="str">
            <v>2.2.3.3.</v>
          </cell>
          <cell r="G2243" t="str">
            <v xml:space="preserve">Peças e conexões em aço carbono ASTM A-36/93, calandradas e soldadas pelo processo do arco submerso, com pontas biseladas para solda em campo e/ou flangeadas. Revestimento interno e externo com tinta epoxi Redução concêntrica DN 1200 x 1000 esp. 3/8, com </v>
          </cell>
          <cell r="H2243" t="str">
            <v xml:space="preserve">pç    </v>
          </cell>
          <cell r="I2243">
            <v>3</v>
          </cell>
          <cell r="J2243">
            <v>5955.73</v>
          </cell>
          <cell r="K2243">
            <v>7529.73</v>
          </cell>
          <cell r="L2243">
            <v>17867.189999999999</v>
          </cell>
        </row>
        <row r="2244">
          <cell r="D2244" t="str">
            <v xml:space="preserve">  N. 66.            </v>
          </cell>
          <cell r="E2244" t="str">
            <v>CP1390</v>
          </cell>
          <cell r="F2244" t="str">
            <v>2.2.3.4.</v>
          </cell>
          <cell r="G2244" t="str">
            <v>Peças e conexões em aço carbono ASTM A-36/93, calandradas e soldadas pelo processo do arco submerso, com pontas biseladas para solda em campo e/ou flangeadas. Revestimento interno e externo com tinta epoxi Redução concêntrica DN 1000 x 750 esp. 3/8, com p</v>
          </cell>
          <cell r="H2244" t="str">
            <v xml:space="preserve">pç    </v>
          </cell>
          <cell r="I2244">
            <v>2</v>
          </cell>
          <cell r="J2244">
            <v>5890.99</v>
          </cell>
          <cell r="K2244">
            <v>7447.9</v>
          </cell>
          <cell r="L2244">
            <v>11781.98</v>
          </cell>
        </row>
        <row r="2245">
          <cell r="D2245" t="str">
            <v xml:space="preserve">  N. 67.            </v>
          </cell>
          <cell r="E2245" t="str">
            <v>CP1472</v>
          </cell>
          <cell r="F2245" t="str">
            <v>2.2.3.5.</v>
          </cell>
          <cell r="G2245" t="str">
            <v>Peças e conexões em aço carbono ASTM A-36/93, calandradas e soldadas pelo processo do arco submerso, com pontas biseladas para solda em campo e/ou flangeadas. Revestimento interno e externo com tinta epoxi Redução concêntrica DN 750 x 600 esp. 1/4, com po</v>
          </cell>
          <cell r="H2245" t="str">
            <v xml:space="preserve">pç    </v>
          </cell>
          <cell r="I2245">
            <v>2</v>
          </cell>
          <cell r="J2245">
            <v>2285.69</v>
          </cell>
          <cell r="K2245">
            <v>2889.78</v>
          </cell>
          <cell r="L2245">
            <v>4571.38</v>
          </cell>
        </row>
        <row r="2246">
          <cell r="D2246" t="str">
            <v xml:space="preserve">  N. 68.            </v>
          </cell>
          <cell r="E2246" t="str">
            <v>CP1618</v>
          </cell>
          <cell r="F2246" t="str">
            <v>2.2.3.6.</v>
          </cell>
          <cell r="G2246" t="str">
            <v>Peças e conexões em aço carbono ASTM A-36/93, calandradas e soldadas pelo processo do arco submerso, com pontas biseladas para solda em campo e/ou flangeadas. Revestimento interno e externo com tinta epoxi Redução normal em aço c/ flanges PN 10 DN 250 x 2</v>
          </cell>
          <cell r="H2246" t="str">
            <v xml:space="preserve">pç    </v>
          </cell>
          <cell r="I2246">
            <v>2</v>
          </cell>
          <cell r="J2246">
            <v>821.65</v>
          </cell>
          <cell r="K2246">
            <v>1038.81</v>
          </cell>
          <cell r="L2246">
            <v>1643.3</v>
          </cell>
        </row>
        <row r="2247">
          <cell r="D2247" t="str">
            <v xml:space="preserve">  N. 69.            </v>
          </cell>
          <cell r="E2247" t="str">
            <v>CP1340</v>
          </cell>
          <cell r="F2247" t="str">
            <v>2.2.4.</v>
          </cell>
          <cell r="G2247" t="str">
            <v>Peças e conexões em aço carbono ASTM A-36/93, calandradas e soldadas pelo processo do arco submerso, com pontas biseladas para solda em campo e/ou flangeadas. Revestimento interno e externo com tinta epoxi Calota torisférica DN 1000, esp. 3/8 (ver Des 44-</v>
          </cell>
          <cell r="H2247" t="str">
            <v xml:space="preserve">pç    </v>
          </cell>
          <cell r="I2247">
            <v>1</v>
          </cell>
          <cell r="J2247">
            <v>12139.58</v>
          </cell>
          <cell r="K2247">
            <v>17342.25</v>
          </cell>
          <cell r="L2247">
            <v>12139.58</v>
          </cell>
        </row>
        <row r="2248">
          <cell r="D2248" t="str">
            <v xml:space="preserve">  N. 70.            </v>
          </cell>
          <cell r="E2248" t="str">
            <v>CP1514</v>
          </cell>
          <cell r="F2248" t="str">
            <v>2.2.5.</v>
          </cell>
          <cell r="G2248" t="str">
            <v>Peças e conexões em aço carbono ASTM A-36/93, calandradas e soldadas pelo processo do arco submerso, com pontas biseladas para solda em campo e/ou flangeadas. Revestimento interno e externo com tinta epoxi Derivação DN 200 esp. 3/16 (ver Des 44-S2-206 e D</v>
          </cell>
          <cell r="H2248" t="str">
            <v xml:space="preserve">pç    </v>
          </cell>
          <cell r="I2248">
            <v>2</v>
          </cell>
          <cell r="J2248">
            <v>1807.64</v>
          </cell>
          <cell r="K2248">
            <v>2284.1999999999998</v>
          </cell>
          <cell r="L2248">
            <v>3615.28</v>
          </cell>
        </row>
        <row r="2249">
          <cell r="D2249" t="str">
            <v xml:space="preserve">  N. 71.            </v>
          </cell>
          <cell r="E2249" t="str">
            <v xml:space="preserve">      </v>
          </cell>
          <cell r="F2249" t="str">
            <v>2.2.6.</v>
          </cell>
          <cell r="G2249" t="str">
            <v xml:space="preserve">Peças e conexões em aço carbono ASTM A-36/93, calandradas e soldadas pelo processo do arco submerso, com pontas biseladas para solda em campo e/ou flangeadas. Revestimento interno e externo com tinta epoxi Flange cego em aço  </v>
          </cell>
          <cell r="H2249" t="str">
            <v xml:space="preserve">      </v>
          </cell>
          <cell r="I2249">
            <v>0</v>
          </cell>
          <cell r="J2249">
            <v>0</v>
          </cell>
          <cell r="K2249">
            <v>0</v>
          </cell>
          <cell r="L2249">
            <v>0</v>
          </cell>
        </row>
        <row r="2250">
          <cell r="D2250" t="str">
            <v xml:space="preserve">  N. 72.            </v>
          </cell>
          <cell r="E2250" t="str">
            <v>CP1443</v>
          </cell>
          <cell r="F2250" t="str">
            <v>2.2.6.1.</v>
          </cell>
          <cell r="G2250" t="str">
            <v xml:space="preserve">Peças e conexões em aço carbono ASTM A-36/93, calandradas e soldadas pelo processo do arco submerso, com pontas biseladas para solda em campo e/ou flangeadas. Revestimento interno e externo com tinta epoxi Flange cego em aço DN 900  </v>
          </cell>
          <cell r="H2250" t="str">
            <v xml:space="preserve">pç    </v>
          </cell>
          <cell r="I2250">
            <v>3</v>
          </cell>
          <cell r="J2250">
            <v>6377.28</v>
          </cell>
          <cell r="K2250">
            <v>9110.4</v>
          </cell>
          <cell r="L2250">
            <v>19131.84</v>
          </cell>
        </row>
        <row r="2251">
          <cell r="D2251" t="str">
            <v xml:space="preserve">  N. 73.            </v>
          </cell>
          <cell r="E2251" t="str">
            <v xml:space="preserve">      </v>
          </cell>
          <cell r="F2251" t="str">
            <v>2.2.7.</v>
          </cell>
          <cell r="G2251" t="str">
            <v xml:space="preserve">Peças e conexões em aço carbono ASTM A-36/93, calandradas e soldadas pelo processo do arco submerso, com pontas biseladas para solda em campo e/ou flangeadas. Revestimento interno e externo com tinta epoxi Flange avulso em aço  </v>
          </cell>
          <cell r="H2251" t="str">
            <v xml:space="preserve">      </v>
          </cell>
          <cell r="I2251">
            <v>0</v>
          </cell>
          <cell r="J2251">
            <v>0</v>
          </cell>
          <cell r="K2251">
            <v>0</v>
          </cell>
          <cell r="L2251">
            <v>0</v>
          </cell>
        </row>
        <row r="2252">
          <cell r="D2252" t="str">
            <v xml:space="preserve">  N. 74.            </v>
          </cell>
          <cell r="E2252" t="str">
            <v>CP1425</v>
          </cell>
          <cell r="F2252" t="str">
            <v>2.2.7.1.</v>
          </cell>
          <cell r="G2252" t="str">
            <v xml:space="preserve">Peças e conexões em aço carbono ASTM A-36/93, calandradas e soldadas pelo processo do arco submerso, com pontas biseladas para solda em campo e/ou flangeadas. Revestimento interno e externo com tinta epoxi Flange avulso em aço DN 900  </v>
          </cell>
          <cell r="H2252" t="str">
            <v xml:space="preserve">pç    </v>
          </cell>
          <cell r="I2252">
            <v>1</v>
          </cell>
          <cell r="J2252">
            <v>6377.28</v>
          </cell>
          <cell r="K2252">
            <v>9110.4</v>
          </cell>
          <cell r="L2252">
            <v>6377.28</v>
          </cell>
        </row>
        <row r="2253">
          <cell r="D2253" t="str">
            <v xml:space="preserve">  N. 75.            </v>
          </cell>
          <cell r="E2253" t="str">
            <v xml:space="preserve">      </v>
          </cell>
          <cell r="F2253" t="str">
            <v>2.2.8.</v>
          </cell>
          <cell r="G2253" t="str">
            <v xml:space="preserve">Peças e conexões em aço carbono ASTM A-36/93, calandradas e soldadas pelo processo do arco submerso, com pontas biseladas para solda em campo e/ou flangeadas. Revestimento interno e externo com tinta epoxi Junta de montagem rígida em aço:  </v>
          </cell>
          <cell r="H2253" t="str">
            <v xml:space="preserve">      </v>
          </cell>
          <cell r="I2253">
            <v>0</v>
          </cell>
          <cell r="J2253">
            <v>0</v>
          </cell>
          <cell r="K2253">
            <v>0</v>
          </cell>
          <cell r="L2253">
            <v>0</v>
          </cell>
        </row>
        <row r="2254">
          <cell r="D2254" t="str">
            <v xml:space="preserve">  N. 76.            </v>
          </cell>
          <cell r="E2254" t="str">
            <v>CP1206</v>
          </cell>
          <cell r="F2254" t="str">
            <v>2.2.8.1.</v>
          </cell>
          <cell r="G2254" t="str">
            <v xml:space="preserve">Peças e conexões em aço carbono ASTM A-36/93, calandradas e soldadas pelo processo do arco submerso, com pontas biseladas para solda em campo e/ou flangeadas. Revestimento interno e externo com tinta epoxi Junta de montagem rígida em aço: DN 2000  </v>
          </cell>
          <cell r="H2254" t="str">
            <v xml:space="preserve">pç    </v>
          </cell>
          <cell r="I2254">
            <v>3</v>
          </cell>
          <cell r="J2254">
            <v>120993.24</v>
          </cell>
          <cell r="K2254">
            <v>172847.48</v>
          </cell>
          <cell r="L2254">
            <v>362979.72</v>
          </cell>
        </row>
        <row r="2255">
          <cell r="D2255" t="str">
            <v xml:space="preserve">  N. 77.            </v>
          </cell>
          <cell r="E2255" t="str">
            <v>CP1215</v>
          </cell>
          <cell r="F2255" t="str">
            <v>2.2.8.2.</v>
          </cell>
          <cell r="G2255" t="str">
            <v xml:space="preserve">Peças e conexões em aço carbono ASTM A-36/93, calandradas e soldadas pelo processo do arco submerso, com pontas biseladas para solda em campo e/ou flangeadas. Revestimento interno e externo com tinta epoxi Junta de montagem rígida em aço: DN 1800  </v>
          </cell>
          <cell r="H2255" t="str">
            <v xml:space="preserve">pç    </v>
          </cell>
          <cell r="I2255">
            <v>1</v>
          </cell>
          <cell r="J2255">
            <v>110849.9</v>
          </cell>
          <cell r="K2255">
            <v>158357</v>
          </cell>
          <cell r="L2255">
            <v>110849.9</v>
          </cell>
        </row>
        <row r="2256">
          <cell r="D2256" t="str">
            <v xml:space="preserve">  N. 78.            </v>
          </cell>
          <cell r="E2256" t="str">
            <v>CP1250</v>
          </cell>
          <cell r="F2256" t="str">
            <v>2.2.8.3.</v>
          </cell>
          <cell r="G2256" t="str">
            <v xml:space="preserve">Peças e conexões em aço carbono ASTM A-36/93, calandradas e soldadas pelo processo do arco submerso, com pontas biseladas para solda em campo e/ou flangeadas. Revestimento interno e externo com tinta epoxi Junta de montagem rígida em aço: DN 1200  </v>
          </cell>
          <cell r="H2256" t="str">
            <v xml:space="preserve">pç    </v>
          </cell>
          <cell r="I2256">
            <v>3</v>
          </cell>
          <cell r="J2256">
            <v>51483.97</v>
          </cell>
          <cell r="K2256">
            <v>73548.53</v>
          </cell>
          <cell r="L2256">
            <v>154451.91</v>
          </cell>
        </row>
        <row r="2257">
          <cell r="D2257" t="str">
            <v xml:space="preserve">  N. 79.            </v>
          </cell>
          <cell r="E2257" t="str">
            <v>CP1282</v>
          </cell>
          <cell r="F2257" t="str">
            <v>2.2.8.4.</v>
          </cell>
          <cell r="G2257" t="str">
            <v xml:space="preserve">Peças e conexões em aço carbono ASTM A-36/93, calandradas e soldadas pelo processo do arco submerso, com pontas biseladas para solda em campo e/ou flangeadas. Revestimento interno e externo com tinta epoxi Junta de montagem rígida em aço: DN 900  </v>
          </cell>
          <cell r="H2257" t="str">
            <v xml:space="preserve">pç    </v>
          </cell>
          <cell r="I2257">
            <v>2</v>
          </cell>
          <cell r="J2257">
            <v>28383.89</v>
          </cell>
          <cell r="K2257">
            <v>40548.410000000003</v>
          </cell>
          <cell r="L2257">
            <v>56767.78</v>
          </cell>
        </row>
        <row r="2258">
          <cell r="D2258" t="str">
            <v xml:space="preserve">  N. 80.            </v>
          </cell>
          <cell r="E2258" t="str">
            <v xml:space="preserve">      </v>
          </cell>
          <cell r="F2258" t="str">
            <v>2.2.9.</v>
          </cell>
          <cell r="G2258" t="str">
            <v xml:space="preserve">Tubo de concreto armado, ponta e bolsa, classe CA-2:  </v>
          </cell>
          <cell r="H2258" t="str">
            <v xml:space="preserve">      </v>
          </cell>
          <cell r="I2258">
            <v>0</v>
          </cell>
          <cell r="J2258">
            <v>0</v>
          </cell>
          <cell r="K2258">
            <v>0</v>
          </cell>
          <cell r="L2258">
            <v>0</v>
          </cell>
        </row>
        <row r="2259">
          <cell r="D2259" t="str">
            <v xml:space="preserve">  N. 81.            </v>
          </cell>
          <cell r="E2259" t="str">
            <v>CP1025</v>
          </cell>
          <cell r="F2259" t="str">
            <v>2.2.9.1.</v>
          </cell>
          <cell r="G2259" t="str">
            <v xml:space="preserve">Tubo de concreto armado, ponta e bolsa, classe CA-2: DN 1200  </v>
          </cell>
          <cell r="H2259" t="str">
            <v xml:space="preserve">m     </v>
          </cell>
          <cell r="I2259">
            <v>207</v>
          </cell>
          <cell r="J2259">
            <v>340.6</v>
          </cell>
          <cell r="K2259">
            <v>316.02</v>
          </cell>
          <cell r="L2259">
            <v>70504.2</v>
          </cell>
        </row>
        <row r="2260">
          <cell r="D2260" t="str">
            <v xml:space="preserve">  N. 82.            </v>
          </cell>
          <cell r="E2260" t="str">
            <v>CP1026</v>
          </cell>
          <cell r="F2260" t="str">
            <v>2.2.9.2.</v>
          </cell>
          <cell r="G2260" t="str">
            <v xml:space="preserve">Tubo de concreto armado, ponta e bolsa, classe CA-2: DN 1000  </v>
          </cell>
          <cell r="H2260" t="str">
            <v xml:space="preserve">m     </v>
          </cell>
          <cell r="I2260">
            <v>88</v>
          </cell>
          <cell r="J2260">
            <v>291.99</v>
          </cell>
          <cell r="K2260">
            <v>243.9</v>
          </cell>
          <cell r="L2260">
            <v>25695.119999999999</v>
          </cell>
        </row>
        <row r="2261">
          <cell r="D2261" t="str">
            <v xml:space="preserve">  N. 83.            </v>
          </cell>
          <cell r="E2261" t="str">
            <v>CP1027</v>
          </cell>
          <cell r="F2261" t="str">
            <v>2.2.9.3.</v>
          </cell>
          <cell r="G2261" t="str">
            <v xml:space="preserve">Tubo de concreto armado, ponta e bolsa, classe CA-2: DN 800  </v>
          </cell>
          <cell r="H2261" t="str">
            <v xml:space="preserve">m     </v>
          </cell>
          <cell r="I2261">
            <v>251</v>
          </cell>
          <cell r="J2261">
            <v>193.01</v>
          </cell>
          <cell r="K2261">
            <v>161.25</v>
          </cell>
          <cell r="L2261">
            <v>48445.51</v>
          </cell>
        </row>
        <row r="2262">
          <cell r="D2262" t="str">
            <v xml:space="preserve">  N. 84.            </v>
          </cell>
          <cell r="E2262" t="str">
            <v xml:space="preserve">      </v>
          </cell>
          <cell r="F2262" t="str">
            <v>2.2.10.</v>
          </cell>
          <cell r="G2262" t="str">
            <v xml:space="preserve">Tubo de concreto armado, ponta e bolsa, classe C1:  </v>
          </cell>
          <cell r="H2262" t="str">
            <v xml:space="preserve">      </v>
          </cell>
          <cell r="I2262">
            <v>0</v>
          </cell>
          <cell r="J2262">
            <v>0</v>
          </cell>
          <cell r="K2262">
            <v>0</v>
          </cell>
          <cell r="L2262">
            <v>0</v>
          </cell>
        </row>
        <row r="2263">
          <cell r="D2263" t="str">
            <v xml:space="preserve">  N. 85.            </v>
          </cell>
          <cell r="E2263" t="str">
            <v>CP2107</v>
          </cell>
          <cell r="F2263" t="str">
            <v>2.2.10.1.</v>
          </cell>
          <cell r="G2263" t="str">
            <v xml:space="preserve">Tubo de concreto armado, ponta e bolsa, classe C1: DN 150  </v>
          </cell>
          <cell r="H2263" t="str">
            <v xml:space="preserve">m     </v>
          </cell>
          <cell r="I2263">
            <v>17</v>
          </cell>
          <cell r="J2263">
            <v>6.17</v>
          </cell>
          <cell r="K2263">
            <v>5.16</v>
          </cell>
          <cell r="L2263">
            <v>104.89</v>
          </cell>
        </row>
        <row r="2264">
          <cell r="D2264" t="str">
            <v xml:space="preserve">  N. 86.            </v>
          </cell>
          <cell r="E2264" t="str">
            <v xml:space="preserve">      </v>
          </cell>
          <cell r="F2264" t="str">
            <v>2.3.</v>
          </cell>
          <cell r="G2264" t="str">
            <v xml:space="preserve">Tubos e conexões em ferro dúctil, centrifugados, c/ revestimento interno de cimento e externo em pintura betuminosa anticorrosiva na cor preta.  </v>
          </cell>
          <cell r="H2264" t="str">
            <v xml:space="preserve">      </v>
          </cell>
          <cell r="I2264">
            <v>0</v>
          </cell>
          <cell r="J2264">
            <v>0</v>
          </cell>
          <cell r="K2264">
            <v>0</v>
          </cell>
          <cell r="L2264">
            <v>0</v>
          </cell>
        </row>
        <row r="2265">
          <cell r="D2265" t="str">
            <v xml:space="preserve">  N. 87.            </v>
          </cell>
          <cell r="E2265" t="str">
            <v>CP1021</v>
          </cell>
          <cell r="F2265" t="str">
            <v>2.3.1.</v>
          </cell>
          <cell r="G2265" t="str">
            <v xml:space="preserve">Tubos e conexões em ferro dúctil, centrifugados, c/ revestimento interno de cimento e externo em pintura betuminosa anticorrosiva na cor preta. Tubo DN 200, junta elástica, classe K-7  </v>
          </cell>
          <cell r="H2265" t="str">
            <v xml:space="preserve">m     </v>
          </cell>
          <cell r="I2265">
            <v>288</v>
          </cell>
          <cell r="J2265">
            <v>233.27</v>
          </cell>
          <cell r="K2265">
            <v>200.37</v>
          </cell>
          <cell r="L2265">
            <v>67181.759999999995</v>
          </cell>
        </row>
        <row r="2266">
          <cell r="D2266" t="str">
            <v xml:space="preserve">  N. 88.            </v>
          </cell>
          <cell r="E2266" t="str">
            <v xml:space="preserve">      </v>
          </cell>
          <cell r="F2266" t="str">
            <v>2.3.2.</v>
          </cell>
          <cell r="G2266" t="str">
            <v xml:space="preserve">Tubos e conexões em ferro dúctil, centrifugados, c/ revestimento interno de cimento e externo em pintura betuminosa anticorrosiva na cor preta. Curva 90o com flanges, PN 10  </v>
          </cell>
          <cell r="H2266" t="str">
            <v xml:space="preserve">      </v>
          </cell>
          <cell r="I2266">
            <v>0</v>
          </cell>
          <cell r="J2266">
            <v>0</v>
          </cell>
          <cell r="K2266">
            <v>0</v>
          </cell>
          <cell r="L2266">
            <v>0</v>
          </cell>
        </row>
        <row r="2267">
          <cell r="D2267" t="str">
            <v xml:space="preserve">  N. 89.            </v>
          </cell>
          <cell r="E2267" t="str">
            <v>CP1002</v>
          </cell>
          <cell r="F2267" t="str">
            <v>2.3.2.1.</v>
          </cell>
          <cell r="G2267" t="str">
            <v xml:space="preserve">Tubos e conexões em ferro dúctil, centrifugados, c/ revestimento interno de cimento e externo em pintura betuminosa anticorrosiva na cor preta. Curva 90o com flanges, PN 10 DN 200  </v>
          </cell>
          <cell r="H2267" t="str">
            <v xml:space="preserve">pç    </v>
          </cell>
          <cell r="I2267">
            <v>1</v>
          </cell>
          <cell r="J2267">
            <v>434.47</v>
          </cell>
          <cell r="K2267">
            <v>420.61</v>
          </cell>
          <cell r="L2267">
            <v>434.47</v>
          </cell>
        </row>
        <row r="2268">
          <cell r="D2268" t="str">
            <v xml:space="preserve">  N. 90.            </v>
          </cell>
          <cell r="E2268" t="str">
            <v>CP1016</v>
          </cell>
          <cell r="F2268" t="str">
            <v>2.3.3.</v>
          </cell>
          <cell r="G2268" t="str">
            <v xml:space="preserve">Tubos e conexões em ferro dúctil, centrifugados, c/ revestimento interno de cimento e externo em pintura betuminosa anticorrosiva na cor preta. Curva 90o com bolsas, junta elástica DN 200  </v>
          </cell>
          <cell r="H2268" t="str">
            <v xml:space="preserve">pç    </v>
          </cell>
          <cell r="I2268">
            <v>6</v>
          </cell>
          <cell r="J2268">
            <v>243.26</v>
          </cell>
          <cell r="K2268">
            <v>203.68</v>
          </cell>
          <cell r="L2268">
            <v>1459.56</v>
          </cell>
        </row>
        <row r="2269">
          <cell r="D2269" t="str">
            <v xml:space="preserve">  N. 91.            </v>
          </cell>
          <cell r="E2269" t="str">
            <v xml:space="preserve">      </v>
          </cell>
          <cell r="F2269" t="str">
            <v>2.3.4.</v>
          </cell>
          <cell r="G2269" t="str">
            <v xml:space="preserve">Tubos e conexões em ferro dúctil, centrifugados, c/ revestimento interno de cimento e externo em pintura betuminosa anticorrosiva na cor preta. Tubo com flange e ponta, PN 10  </v>
          </cell>
          <cell r="H2269" t="str">
            <v xml:space="preserve">      </v>
          </cell>
          <cell r="I2269">
            <v>0</v>
          </cell>
          <cell r="J2269">
            <v>0</v>
          </cell>
          <cell r="K2269">
            <v>0</v>
          </cell>
          <cell r="L2269">
            <v>0</v>
          </cell>
        </row>
        <row r="2270">
          <cell r="D2270" t="str">
            <v xml:space="preserve">  N. 92.            </v>
          </cell>
          <cell r="E2270" t="str">
            <v>CP1625</v>
          </cell>
          <cell r="F2270" t="str">
            <v>2.3.4.1.</v>
          </cell>
          <cell r="G2270" t="str">
            <v xml:space="preserve">Tubos e conexões em ferro dúctil, centrifugados, c/ revestimento interno de cimento e externo em pintura betuminosa anticorrosiva na cor preta. Tubo com flange e ponta, PN 10 DN 200, L = 1,00 m  </v>
          </cell>
          <cell r="H2270" t="str">
            <v xml:space="preserve">pç    </v>
          </cell>
          <cell r="I2270">
            <v>1</v>
          </cell>
          <cell r="J2270">
            <v>586.41</v>
          </cell>
          <cell r="K2270">
            <v>559.39</v>
          </cell>
          <cell r="L2270">
            <v>586.41</v>
          </cell>
        </row>
        <row r="2271">
          <cell r="D2271" t="str">
            <v xml:space="preserve">  N. 93.            </v>
          </cell>
          <cell r="E2271" t="str">
            <v>CP1590</v>
          </cell>
          <cell r="F2271" t="str">
            <v>2.3.4.2.</v>
          </cell>
          <cell r="G2271" t="str">
            <v xml:space="preserve">Tubos e conexões em ferro dúctil, centrifugados, c/ revestimento interno de cimento e externo em pintura betuminosa anticorrosiva na cor preta. Tubo com flange e ponta, PN 10 DN 200, L = 1,50 m  </v>
          </cell>
          <cell r="H2271" t="str">
            <v xml:space="preserve">pç    </v>
          </cell>
          <cell r="I2271">
            <v>1</v>
          </cell>
          <cell r="J2271">
            <v>834.78</v>
          </cell>
          <cell r="K2271">
            <v>1117.21</v>
          </cell>
          <cell r="L2271">
            <v>834.78</v>
          </cell>
        </row>
        <row r="2272">
          <cell r="D2272" t="str">
            <v xml:space="preserve">  N. 94.            </v>
          </cell>
          <cell r="E2272" t="str">
            <v>CP1019</v>
          </cell>
          <cell r="F2272" t="str">
            <v>2.3.5.</v>
          </cell>
          <cell r="G2272" t="str">
            <v xml:space="preserve">Tubos e conexões em ferro dúctil, centrifugados, c/ revestimento interno de cimento e externo em pintura betuminosa anticorrosiva na cor preta. Curva 45o com bolsas, junta elástica, DN 200  </v>
          </cell>
          <cell r="H2272" t="str">
            <v xml:space="preserve">pç    </v>
          </cell>
          <cell r="I2272">
            <v>1</v>
          </cell>
          <cell r="J2272">
            <v>203.65</v>
          </cell>
          <cell r="K2272">
            <v>170.13</v>
          </cell>
          <cell r="L2272">
            <v>203.65</v>
          </cell>
        </row>
        <row r="2273">
          <cell r="D2273" t="str">
            <v xml:space="preserve">  N. 95.            </v>
          </cell>
          <cell r="E2273" t="str">
            <v>CP1020</v>
          </cell>
          <cell r="F2273" t="str">
            <v>2.3.6.</v>
          </cell>
          <cell r="G2273" t="str">
            <v xml:space="preserve">Tubos e conexões em ferro dúctil, centrifugados, c/ revestimento interno de cimento e externo em pintura betuminosa anticorrosiva na cor preta. Curva 22° 30´com bolsas, junta elástica, DN 200  </v>
          </cell>
          <cell r="H2273" t="str">
            <v xml:space="preserve">pç    </v>
          </cell>
          <cell r="I2273">
            <v>2</v>
          </cell>
          <cell r="J2273">
            <v>186.11</v>
          </cell>
          <cell r="K2273">
            <v>155.21</v>
          </cell>
          <cell r="L2273">
            <v>372.22</v>
          </cell>
        </row>
        <row r="2274">
          <cell r="D2274" t="str">
            <v xml:space="preserve">  N. 96.            </v>
          </cell>
          <cell r="E2274" t="str">
            <v xml:space="preserve">      </v>
          </cell>
          <cell r="F2274" t="str">
            <v>2.3.7.</v>
          </cell>
          <cell r="G2274" t="str">
            <v xml:space="preserve">Registro de gaveta, série chata, com flanges e cabeçote, PN 10  </v>
          </cell>
          <cell r="H2274" t="str">
            <v xml:space="preserve">      </v>
          </cell>
          <cell r="I2274">
            <v>0</v>
          </cell>
          <cell r="J2274">
            <v>0</v>
          </cell>
          <cell r="K2274">
            <v>0</v>
          </cell>
          <cell r="L2274">
            <v>0</v>
          </cell>
        </row>
        <row r="2275">
          <cell r="D2275" t="str">
            <v xml:space="preserve">  N. 97.            </v>
          </cell>
          <cell r="E2275" t="str">
            <v>CP1484</v>
          </cell>
          <cell r="F2275" t="str">
            <v>2.3.7.1.</v>
          </cell>
          <cell r="G2275" t="str">
            <v xml:space="preserve">Registro de gaveta, série chata, com flanges e cabeçote, PN 10 DN 200  </v>
          </cell>
          <cell r="H2275" t="str">
            <v xml:space="preserve">un    </v>
          </cell>
          <cell r="I2275">
            <v>2</v>
          </cell>
          <cell r="J2275">
            <v>2007.35</v>
          </cell>
          <cell r="K2275">
            <v>1717.88</v>
          </cell>
          <cell r="L2275">
            <v>4014.7</v>
          </cell>
        </row>
        <row r="2276">
          <cell r="D2276" t="str">
            <v xml:space="preserve">  N. 98.            </v>
          </cell>
          <cell r="E2276" t="str">
            <v xml:space="preserve">      </v>
          </cell>
          <cell r="F2276" t="str">
            <v>2.3.8.</v>
          </cell>
          <cell r="G2276" t="str">
            <v xml:space="preserve">Ventosa tríplice função, com flanges PN 10:  </v>
          </cell>
          <cell r="H2276" t="str">
            <v xml:space="preserve">      </v>
          </cell>
          <cell r="I2276">
            <v>0</v>
          </cell>
          <cell r="J2276">
            <v>0</v>
          </cell>
          <cell r="K2276">
            <v>0</v>
          </cell>
          <cell r="L2276">
            <v>0</v>
          </cell>
        </row>
        <row r="2277">
          <cell r="D2277" t="str">
            <v xml:space="preserve">  N. 99.            </v>
          </cell>
          <cell r="E2277" t="str">
            <v>CP1414</v>
          </cell>
          <cell r="F2277" t="str">
            <v>2.3.8.1.</v>
          </cell>
          <cell r="G2277" t="str">
            <v xml:space="preserve">Ventosa tríplice função, com flanges PN 10: DN 200  </v>
          </cell>
          <cell r="H2277" t="str">
            <v xml:space="preserve">un    </v>
          </cell>
          <cell r="I2277">
            <v>1</v>
          </cell>
          <cell r="J2277">
            <v>1736.9</v>
          </cell>
          <cell r="K2277">
            <v>1452.7</v>
          </cell>
          <cell r="L2277">
            <v>1736.9</v>
          </cell>
        </row>
        <row r="2278">
          <cell r="D2278" t="str">
            <v xml:space="preserve">  N.100.            </v>
          </cell>
          <cell r="E2278" t="str">
            <v xml:space="preserve">      </v>
          </cell>
          <cell r="F2278" t="str">
            <v>2.3.9.</v>
          </cell>
          <cell r="G2278" t="str">
            <v xml:space="preserve">Válvula borboleta, c/ flanges, PN 10, acionamento elétrico:  </v>
          </cell>
          <cell r="H2278" t="str">
            <v xml:space="preserve">      </v>
          </cell>
          <cell r="I2278">
            <v>0</v>
          </cell>
          <cell r="J2278">
            <v>0</v>
          </cell>
          <cell r="K2278">
            <v>0</v>
          </cell>
          <cell r="L2278">
            <v>0</v>
          </cell>
        </row>
        <row r="2279">
          <cell r="D2279" t="str">
            <v xml:space="preserve">  N.101.            </v>
          </cell>
          <cell r="E2279" t="str">
            <v>CP1185</v>
          </cell>
          <cell r="F2279" t="str">
            <v>2.3.9.1.</v>
          </cell>
          <cell r="G2279" t="str">
            <v xml:space="preserve">Válvula borboleta, c/ flanges, PN 10, acionamento elétrico: DN 2000  </v>
          </cell>
          <cell r="H2279" t="str">
            <v xml:space="preserve">un    </v>
          </cell>
          <cell r="I2279">
            <v>2</v>
          </cell>
          <cell r="J2279">
            <v>1070877.42</v>
          </cell>
          <cell r="K2279">
            <v>892472.22</v>
          </cell>
          <cell r="L2279">
            <v>2141754.84</v>
          </cell>
        </row>
        <row r="2280">
          <cell r="D2280" t="str">
            <v xml:space="preserve">  N.102.            </v>
          </cell>
          <cell r="E2280" t="str">
            <v>CP1200</v>
          </cell>
          <cell r="F2280" t="str">
            <v>2.3.9.2.</v>
          </cell>
          <cell r="G2280" t="str">
            <v xml:space="preserve">Válvula borboleta, c/ flanges, PN 10, acionamento elétrico: DN 1200  </v>
          </cell>
          <cell r="H2280" t="str">
            <v xml:space="preserve">un    </v>
          </cell>
          <cell r="I2280">
            <v>3</v>
          </cell>
          <cell r="J2280">
            <v>96043.01</v>
          </cell>
          <cell r="K2280">
            <v>80516.39</v>
          </cell>
          <cell r="L2280">
            <v>288129.03000000003</v>
          </cell>
        </row>
        <row r="2281">
          <cell r="D2281" t="str">
            <v xml:space="preserve">  N.103.            </v>
          </cell>
          <cell r="E2281" t="str">
            <v>CP1221</v>
          </cell>
          <cell r="F2281" t="str">
            <v>2.3.9.3.</v>
          </cell>
          <cell r="G2281" t="str">
            <v xml:space="preserve">Válvula borboleta, c/ flanges, PN 10, acionamento elétrico: DN 900  </v>
          </cell>
          <cell r="H2281" t="str">
            <v xml:space="preserve">un    </v>
          </cell>
          <cell r="I2281">
            <v>2</v>
          </cell>
          <cell r="J2281">
            <v>57355.22</v>
          </cell>
          <cell r="K2281">
            <v>51302.5</v>
          </cell>
          <cell r="L2281">
            <v>114710.44</v>
          </cell>
        </row>
        <row r="2282">
          <cell r="D2282" t="str">
            <v xml:space="preserve">  N.104.            </v>
          </cell>
          <cell r="E2282" t="str">
            <v xml:space="preserve">      </v>
          </cell>
          <cell r="F2282" t="str">
            <v>2.3.10.</v>
          </cell>
          <cell r="G2282" t="str">
            <v xml:space="preserve">Válvula borboleta, c/ flanges, PN 10, acionamento manual:  </v>
          </cell>
          <cell r="H2282" t="str">
            <v xml:space="preserve">      </v>
          </cell>
          <cell r="I2282">
            <v>0</v>
          </cell>
          <cell r="J2282">
            <v>0</v>
          </cell>
          <cell r="K2282">
            <v>0</v>
          </cell>
          <cell r="L2282">
            <v>0</v>
          </cell>
        </row>
        <row r="2283">
          <cell r="D2283" t="str">
            <v xml:space="preserve">  N.105.            </v>
          </cell>
          <cell r="E2283" t="str">
            <v>CP1179</v>
          </cell>
          <cell r="F2283" t="str">
            <v>2.3.10.1.</v>
          </cell>
          <cell r="G2283" t="str">
            <v xml:space="preserve">Válvula borboleta, c/ flanges, PN 10, acionamento manual: DN 2000  </v>
          </cell>
          <cell r="H2283" t="str">
            <v xml:space="preserve">un    </v>
          </cell>
          <cell r="I2283">
            <v>1</v>
          </cell>
          <cell r="J2283">
            <v>1054258.72</v>
          </cell>
          <cell r="K2283">
            <v>878622.15</v>
          </cell>
          <cell r="L2283">
            <v>1054258.72</v>
          </cell>
        </row>
        <row r="2284">
          <cell r="D2284" t="str">
            <v xml:space="preserve">  N.106.            </v>
          </cell>
          <cell r="E2284" t="str">
            <v>CP1204</v>
          </cell>
          <cell r="F2284" t="str">
            <v>2.3.10.2.</v>
          </cell>
          <cell r="G2284" t="str">
            <v xml:space="preserve">Válvula borboleta, c/ flanges, PN 10, acionamento manual: DN 1200  </v>
          </cell>
          <cell r="H2284" t="str">
            <v xml:space="preserve">un    </v>
          </cell>
          <cell r="I2284">
            <v>1</v>
          </cell>
          <cell r="J2284">
            <v>121512.76</v>
          </cell>
          <cell r="K2284">
            <v>173589.66</v>
          </cell>
          <cell r="L2284">
            <v>121512.76</v>
          </cell>
        </row>
        <row r="2285">
          <cell r="D2285" t="str">
            <v xml:space="preserve">  N.107.            </v>
          </cell>
          <cell r="E2285" t="str">
            <v>CP1198</v>
          </cell>
          <cell r="F2285" t="str">
            <v>2.4.</v>
          </cell>
          <cell r="G2285" t="str">
            <v xml:space="preserve">Acessórios para juntas flangeadas de tubos, conexões e aparelhos em Ferro Fundido  </v>
          </cell>
          <cell r="H2285" t="str">
            <v xml:space="preserve">un    </v>
          </cell>
          <cell r="I2285">
            <v>1</v>
          </cell>
          <cell r="J2285">
            <v>513764.54</v>
          </cell>
          <cell r="K2285">
            <v>429352.9</v>
          </cell>
          <cell r="L2285">
            <v>513764.54</v>
          </cell>
        </row>
        <row r="2286">
          <cell r="D2286" t="str">
            <v xml:space="preserve">  N.108.            </v>
          </cell>
          <cell r="E2286" t="str">
            <v xml:space="preserve">      </v>
          </cell>
          <cell r="F2286" t="str">
            <v>3.</v>
          </cell>
          <cell r="G2286" t="str">
            <v xml:space="preserve">Assentamento de Tubos, Peças, Conexões e Aparelhos Hidráulicos  </v>
          </cell>
          <cell r="H2286" t="str">
            <v xml:space="preserve">      </v>
          </cell>
          <cell r="I2286">
            <v>0</v>
          </cell>
          <cell r="J2286">
            <v>0</v>
          </cell>
          <cell r="K2286">
            <v>0</v>
          </cell>
          <cell r="L2286">
            <v>0</v>
          </cell>
        </row>
        <row r="2287">
          <cell r="D2287" t="str">
            <v xml:space="preserve">  N.109.            </v>
          </cell>
          <cell r="E2287" t="str">
            <v xml:space="preserve">      </v>
          </cell>
          <cell r="F2287" t="str">
            <v>3.1.</v>
          </cell>
          <cell r="G2287" t="str">
            <v xml:space="preserve">Assentamento de Tubos e Conexões em Aço:  </v>
          </cell>
          <cell r="H2287" t="str">
            <v xml:space="preserve">      </v>
          </cell>
          <cell r="I2287">
            <v>0</v>
          </cell>
          <cell r="J2287">
            <v>0</v>
          </cell>
          <cell r="K2287">
            <v>0</v>
          </cell>
          <cell r="L2287">
            <v>0</v>
          </cell>
        </row>
        <row r="2288">
          <cell r="D2288" t="str">
            <v xml:space="preserve">  N.110.            </v>
          </cell>
          <cell r="E2288" t="str">
            <v>CP0182</v>
          </cell>
          <cell r="F2288" t="str">
            <v>3.1.1.</v>
          </cell>
          <cell r="G2288" t="str">
            <v xml:space="preserve">Assentamento de Tubos e Conexões em Aço: DN 2000  </v>
          </cell>
          <cell r="H2288" t="str">
            <v xml:space="preserve">m     </v>
          </cell>
          <cell r="I2288">
            <v>335</v>
          </cell>
          <cell r="J2288">
            <v>627.16</v>
          </cell>
          <cell r="K2288">
            <v>525.71</v>
          </cell>
          <cell r="L2288">
            <v>210098.6</v>
          </cell>
        </row>
        <row r="2289">
          <cell r="D2289" t="str">
            <v xml:space="preserve">  N.111.            </v>
          </cell>
          <cell r="E2289" t="str">
            <v>CP0181</v>
          </cell>
          <cell r="F2289" t="str">
            <v>3.1.2.</v>
          </cell>
          <cell r="G2289" t="str">
            <v xml:space="preserve">Assentamento de Tubos e Conexões em Aço: DN 1800  </v>
          </cell>
          <cell r="H2289" t="str">
            <v xml:space="preserve">m     </v>
          </cell>
          <cell r="I2289">
            <v>147</v>
          </cell>
          <cell r="J2289">
            <v>582.48</v>
          </cell>
          <cell r="K2289">
            <v>489.15</v>
          </cell>
          <cell r="L2289">
            <v>85624.56</v>
          </cell>
        </row>
        <row r="2290">
          <cell r="D2290" t="str">
            <v xml:space="preserve">  N.112.            </v>
          </cell>
          <cell r="E2290" t="str">
            <v>CP0180</v>
          </cell>
          <cell r="F2290" t="str">
            <v>3.1.3.</v>
          </cell>
          <cell r="G2290" t="str">
            <v xml:space="preserve">Assentamento de Tubos e Conexões em Aço: DN 1400  </v>
          </cell>
          <cell r="H2290" t="str">
            <v xml:space="preserve">m     </v>
          </cell>
          <cell r="I2290">
            <v>166</v>
          </cell>
          <cell r="J2290">
            <v>390.58</v>
          </cell>
          <cell r="K2290">
            <v>325.7</v>
          </cell>
          <cell r="L2290">
            <v>64836.28</v>
          </cell>
        </row>
        <row r="2291">
          <cell r="D2291" t="str">
            <v xml:space="preserve">  N.113.            </v>
          </cell>
          <cell r="E2291" t="str">
            <v>CP0179</v>
          </cell>
          <cell r="F2291" t="str">
            <v>3.1.4.</v>
          </cell>
          <cell r="G2291" t="str">
            <v xml:space="preserve">Assentamento de Tubos e Conexões em Aço: DN 1200  </v>
          </cell>
          <cell r="H2291" t="str">
            <v xml:space="preserve">m     </v>
          </cell>
          <cell r="I2291">
            <v>80</v>
          </cell>
          <cell r="J2291">
            <v>301.10000000000002</v>
          </cell>
          <cell r="K2291">
            <v>251.33</v>
          </cell>
          <cell r="L2291">
            <v>24088</v>
          </cell>
        </row>
        <row r="2292">
          <cell r="D2292" t="str">
            <v xml:space="preserve">  N.114.            </v>
          </cell>
          <cell r="E2292" t="str">
            <v>CP0178</v>
          </cell>
          <cell r="F2292" t="str">
            <v>3.1.5.</v>
          </cell>
          <cell r="G2292" t="str">
            <v xml:space="preserve">Assentamento de Tubos e Conexões em Aço: DN 1000  </v>
          </cell>
          <cell r="H2292" t="str">
            <v xml:space="preserve">m     </v>
          </cell>
          <cell r="I2292">
            <v>344</v>
          </cell>
          <cell r="J2292">
            <v>245.59</v>
          </cell>
          <cell r="K2292">
            <v>204.93</v>
          </cell>
          <cell r="L2292">
            <v>84482.96</v>
          </cell>
        </row>
        <row r="2293">
          <cell r="D2293" t="str">
            <v xml:space="preserve">  N.115.            </v>
          </cell>
          <cell r="E2293" t="str">
            <v>CP0177</v>
          </cell>
          <cell r="F2293" t="str">
            <v>3.1.6.</v>
          </cell>
          <cell r="G2293" t="str">
            <v xml:space="preserve">Assentamento de Tubos e Conexões em Aço: DN 750  </v>
          </cell>
          <cell r="H2293" t="str">
            <v xml:space="preserve">m     </v>
          </cell>
          <cell r="I2293">
            <v>16</v>
          </cell>
          <cell r="J2293">
            <v>205.29</v>
          </cell>
          <cell r="K2293">
            <v>171.83</v>
          </cell>
          <cell r="L2293">
            <v>3284.64</v>
          </cell>
        </row>
        <row r="2294">
          <cell r="D2294" t="str">
            <v xml:space="preserve">  N.116.            </v>
          </cell>
          <cell r="E2294" t="str">
            <v>CP0176</v>
          </cell>
          <cell r="F2294" t="str">
            <v>3.1.7.</v>
          </cell>
          <cell r="G2294" t="str">
            <v xml:space="preserve">Assentamento de Tubos e Conexões em Aço: DN 600  </v>
          </cell>
          <cell r="H2294" t="str">
            <v xml:space="preserve">m     </v>
          </cell>
          <cell r="I2294">
            <v>16</v>
          </cell>
          <cell r="J2294">
            <v>198.83</v>
          </cell>
          <cell r="K2294">
            <v>166.03</v>
          </cell>
          <cell r="L2294">
            <v>3181.28</v>
          </cell>
        </row>
        <row r="2295">
          <cell r="D2295" t="str">
            <v xml:space="preserve">  N.117.            </v>
          </cell>
          <cell r="E2295" t="str">
            <v xml:space="preserve">      </v>
          </cell>
          <cell r="F2295" t="str">
            <v>3.2.</v>
          </cell>
          <cell r="G2295" t="str">
            <v xml:space="preserve">Assentamento de Tubos, peças e Conexões em Ferro Fundido Junta Elástica  </v>
          </cell>
          <cell r="H2295" t="str">
            <v xml:space="preserve">      </v>
          </cell>
          <cell r="I2295">
            <v>0</v>
          </cell>
          <cell r="J2295">
            <v>0</v>
          </cell>
          <cell r="K2295">
            <v>0</v>
          </cell>
          <cell r="L2295">
            <v>0</v>
          </cell>
        </row>
        <row r="2296">
          <cell r="D2296" t="str">
            <v xml:space="preserve">  N.118.            </v>
          </cell>
          <cell r="E2296" t="str">
            <v>CP1050</v>
          </cell>
          <cell r="F2296" t="str">
            <v>3.2.1.</v>
          </cell>
          <cell r="G2296" t="str">
            <v xml:space="preserve">Assentamento de Tubos, peças e Conexões em Ferro Fundido Junta Elástica DN 200  </v>
          </cell>
          <cell r="H2296" t="str">
            <v xml:space="preserve">m     </v>
          </cell>
          <cell r="I2296">
            <v>288</v>
          </cell>
          <cell r="J2296">
            <v>10.91</v>
          </cell>
          <cell r="K2296">
            <v>9.16</v>
          </cell>
          <cell r="L2296">
            <v>3142.08</v>
          </cell>
        </row>
        <row r="2297">
          <cell r="D2297" t="str">
            <v xml:space="preserve">  N.119.            </v>
          </cell>
          <cell r="E2297" t="str">
            <v xml:space="preserve">      </v>
          </cell>
          <cell r="F2297" t="str">
            <v>3.3.</v>
          </cell>
          <cell r="G2297" t="str">
            <v xml:space="preserve">Assentamento de Tubos de Concreto  </v>
          </cell>
          <cell r="H2297" t="str">
            <v xml:space="preserve">      </v>
          </cell>
          <cell r="I2297">
            <v>0</v>
          </cell>
          <cell r="J2297">
            <v>0</v>
          </cell>
          <cell r="K2297">
            <v>0</v>
          </cell>
          <cell r="L2297">
            <v>0</v>
          </cell>
        </row>
        <row r="2298">
          <cell r="D2298" t="str">
            <v xml:space="preserve">  N.120.            </v>
          </cell>
          <cell r="E2298" t="str">
            <v xml:space="preserve">      </v>
          </cell>
          <cell r="F2298" t="str">
            <v>3.3.1.</v>
          </cell>
          <cell r="G2298" t="str">
            <v xml:space="preserve">Assentamento de Tubos de Concreto Classe CA-2:  </v>
          </cell>
          <cell r="H2298" t="str">
            <v xml:space="preserve">      </v>
          </cell>
          <cell r="I2298">
            <v>0</v>
          </cell>
          <cell r="J2298">
            <v>0</v>
          </cell>
          <cell r="K2298">
            <v>0</v>
          </cell>
          <cell r="L2298">
            <v>0</v>
          </cell>
        </row>
        <row r="2299">
          <cell r="D2299" t="str">
            <v xml:space="preserve">  N.121.            </v>
          </cell>
          <cell r="E2299" t="str">
            <v>CP1033</v>
          </cell>
          <cell r="F2299" t="str">
            <v>3.3.1.1.</v>
          </cell>
          <cell r="G2299" t="str">
            <v xml:space="preserve">Assentamento de Tubos de Concreto Classe CA-2: DN 1200  </v>
          </cell>
          <cell r="H2299" t="str">
            <v xml:space="preserve">m     </v>
          </cell>
          <cell r="I2299">
            <v>207</v>
          </cell>
          <cell r="J2299">
            <v>105.18</v>
          </cell>
          <cell r="K2299">
            <v>150.25</v>
          </cell>
          <cell r="L2299">
            <v>21772.26</v>
          </cell>
        </row>
        <row r="2300">
          <cell r="D2300" t="str">
            <v xml:space="preserve">  N.122.            </v>
          </cell>
          <cell r="E2300" t="str">
            <v>CP1034</v>
          </cell>
          <cell r="F2300" t="str">
            <v>3.3.1.2.</v>
          </cell>
          <cell r="G2300" t="str">
            <v xml:space="preserve">Assentamento de Tubos de Concreto Classe CA-2: DN 1000  </v>
          </cell>
          <cell r="H2300" t="str">
            <v xml:space="preserve">m     </v>
          </cell>
          <cell r="I2300">
            <v>88</v>
          </cell>
          <cell r="J2300">
            <v>85.77</v>
          </cell>
          <cell r="K2300">
            <v>112.02</v>
          </cell>
          <cell r="L2300">
            <v>7547.76</v>
          </cell>
        </row>
        <row r="2301">
          <cell r="D2301" t="str">
            <v xml:space="preserve">  N.123.            </v>
          </cell>
          <cell r="E2301" t="str">
            <v>CP1035</v>
          </cell>
          <cell r="F2301" t="str">
            <v>3.3.1.3.</v>
          </cell>
          <cell r="G2301" t="str">
            <v xml:space="preserve">Assentamento de Tubos de Concreto Classe CA-2: DN 800  </v>
          </cell>
          <cell r="H2301" t="str">
            <v xml:space="preserve">m     </v>
          </cell>
          <cell r="I2301">
            <v>251</v>
          </cell>
          <cell r="J2301">
            <v>71.28</v>
          </cell>
          <cell r="K2301">
            <v>71.569999999999993</v>
          </cell>
          <cell r="L2301">
            <v>17891.28</v>
          </cell>
        </row>
        <row r="2302">
          <cell r="D2302" t="str">
            <v xml:space="preserve">  N.124.            </v>
          </cell>
          <cell r="E2302" t="str">
            <v xml:space="preserve">      </v>
          </cell>
          <cell r="F2302" t="str">
            <v>3.3.2.</v>
          </cell>
          <cell r="G2302" t="str">
            <v xml:space="preserve">Assentamento de Tubos de Concreto Classe C1:  </v>
          </cell>
          <cell r="H2302" t="str">
            <v xml:space="preserve">      </v>
          </cell>
          <cell r="I2302">
            <v>0</v>
          </cell>
          <cell r="J2302">
            <v>0</v>
          </cell>
          <cell r="K2302">
            <v>0</v>
          </cell>
          <cell r="L2302">
            <v>0</v>
          </cell>
        </row>
        <row r="2303">
          <cell r="D2303" t="str">
            <v xml:space="preserve">  N.125.            </v>
          </cell>
          <cell r="E2303" t="str">
            <v>CP0173</v>
          </cell>
          <cell r="F2303" t="str">
            <v>3.3.2.1.</v>
          </cell>
          <cell r="G2303" t="str">
            <v xml:space="preserve">Assentamento de Tubos de Concreto Classe C1: DN 150  </v>
          </cell>
          <cell r="H2303" t="str">
            <v xml:space="preserve">m     </v>
          </cell>
          <cell r="I2303">
            <v>17</v>
          </cell>
          <cell r="J2303">
            <v>13.14</v>
          </cell>
          <cell r="K2303">
            <v>13.09</v>
          </cell>
          <cell r="L2303">
            <v>223.38</v>
          </cell>
        </row>
        <row r="2304">
          <cell r="D2304" t="str">
            <v xml:space="preserve">  N.126.            </v>
          </cell>
          <cell r="E2304" t="str">
            <v xml:space="preserve">      </v>
          </cell>
          <cell r="F2304" t="str">
            <v>3.4.</v>
          </cell>
          <cell r="G2304" t="str">
            <v xml:space="preserve">Montagens especiais:  </v>
          </cell>
          <cell r="H2304" t="str">
            <v xml:space="preserve">      </v>
          </cell>
          <cell r="I2304">
            <v>0</v>
          </cell>
          <cell r="J2304">
            <v>0</v>
          </cell>
          <cell r="K2304">
            <v>0</v>
          </cell>
          <cell r="L2304">
            <v>0</v>
          </cell>
        </row>
        <row r="2305">
          <cell r="D2305" t="str">
            <v xml:space="preserve">  N.127.            </v>
          </cell>
          <cell r="E2305" t="str">
            <v>CP0169</v>
          </cell>
          <cell r="F2305" t="str">
            <v>3.4.1.</v>
          </cell>
          <cell r="G2305" t="str">
            <v xml:space="preserve">Montagens especiais: Em aço  </v>
          </cell>
          <cell r="H2305" t="str">
            <v xml:space="preserve">kg    </v>
          </cell>
          <cell r="I2305">
            <v>61247</v>
          </cell>
          <cell r="J2305">
            <v>4.42</v>
          </cell>
          <cell r="K2305">
            <v>3.71</v>
          </cell>
          <cell r="L2305">
            <v>270711.74</v>
          </cell>
        </row>
        <row r="2306">
          <cell r="D2306" t="str">
            <v xml:space="preserve">  N.128.            </v>
          </cell>
          <cell r="E2306" t="str">
            <v>CP0168</v>
          </cell>
          <cell r="F2306" t="str">
            <v>3.4.2.</v>
          </cell>
          <cell r="G2306" t="str">
            <v xml:space="preserve">Montagens especiais: Em fibra de vidro  </v>
          </cell>
          <cell r="H2306" t="str">
            <v xml:space="preserve">kg    </v>
          </cell>
          <cell r="I2306">
            <v>14</v>
          </cell>
          <cell r="J2306">
            <v>4.74</v>
          </cell>
          <cell r="K2306">
            <v>3.98</v>
          </cell>
          <cell r="L2306">
            <v>66.36</v>
          </cell>
        </row>
        <row r="2307">
          <cell r="D2307" t="str">
            <v xml:space="preserve">  N.129.            </v>
          </cell>
          <cell r="E2307" t="str">
            <v>CP0148</v>
          </cell>
          <cell r="F2307" t="str">
            <v>3.4.3.</v>
          </cell>
          <cell r="G2307" t="str">
            <v xml:space="preserve">Montagem de peças, conexões, equipamentos e aparelhos hidráulicos em ferro fundido  </v>
          </cell>
          <cell r="H2307" t="str">
            <v xml:space="preserve">kg    </v>
          </cell>
          <cell r="I2307">
            <v>30745</v>
          </cell>
          <cell r="J2307">
            <v>1.33</v>
          </cell>
          <cell r="K2307">
            <v>1.1100000000000001</v>
          </cell>
          <cell r="L2307">
            <v>40890.85</v>
          </cell>
        </row>
        <row r="2308">
          <cell r="D2308" t="str">
            <v xml:space="preserve">  N.130.            </v>
          </cell>
          <cell r="E2308" t="str">
            <v>CP1174</v>
          </cell>
          <cell r="F2308" t="str">
            <v>3.5.</v>
          </cell>
          <cell r="G2308" t="str">
            <v xml:space="preserve">Locação e nivelamento de redes de água, com elaboração de notas de serviço e levantamento de normais  </v>
          </cell>
          <cell r="H2308" t="str">
            <v xml:space="preserve">m     </v>
          </cell>
          <cell r="I2308">
            <v>1320</v>
          </cell>
          <cell r="J2308">
            <v>2.61</v>
          </cell>
          <cell r="K2308">
            <v>2.1800000000000002</v>
          </cell>
          <cell r="L2308">
            <v>3445.2</v>
          </cell>
        </row>
        <row r="2309">
          <cell r="D2309" t="str">
            <v xml:space="preserve">  N.131.            </v>
          </cell>
          <cell r="E2309" t="str">
            <v xml:space="preserve">      </v>
          </cell>
          <cell r="F2309" t="str">
            <v>4.</v>
          </cell>
          <cell r="G2309" t="str">
            <v xml:space="preserve">Instalações Hidráulico-Sanitárias  </v>
          </cell>
          <cell r="H2309" t="str">
            <v xml:space="preserve">      </v>
          </cell>
          <cell r="I2309">
            <v>0</v>
          </cell>
          <cell r="J2309">
            <v>0</v>
          </cell>
          <cell r="K2309">
            <v>0</v>
          </cell>
          <cell r="L2309">
            <v>0</v>
          </cell>
        </row>
        <row r="2310">
          <cell r="D2310" t="str">
            <v xml:space="preserve">  N.132.            </v>
          </cell>
          <cell r="E2310" t="str">
            <v xml:space="preserve">      </v>
          </cell>
          <cell r="F2310" t="str">
            <v>4.1.</v>
          </cell>
          <cell r="G2310" t="str">
            <v xml:space="preserve">Fornecimento de Tubos, Peças, Conexões e Aparelhos Hidráulicos  </v>
          </cell>
          <cell r="H2310" t="str">
            <v xml:space="preserve">      </v>
          </cell>
          <cell r="I2310">
            <v>0</v>
          </cell>
          <cell r="J2310">
            <v>0</v>
          </cell>
          <cell r="K2310">
            <v>0</v>
          </cell>
          <cell r="L2310">
            <v>0</v>
          </cell>
        </row>
        <row r="2311">
          <cell r="D2311" t="str">
            <v xml:space="preserve">  N.133.            </v>
          </cell>
          <cell r="E2311" t="str">
            <v xml:space="preserve">      </v>
          </cell>
          <cell r="F2311" t="str">
            <v>4.1.1.</v>
          </cell>
          <cell r="G2311" t="str">
            <v xml:space="preserve">PVC - ESGOTO  </v>
          </cell>
          <cell r="H2311" t="str">
            <v xml:space="preserve">      </v>
          </cell>
          <cell r="I2311">
            <v>0</v>
          </cell>
          <cell r="J2311">
            <v>0</v>
          </cell>
          <cell r="K2311">
            <v>0</v>
          </cell>
          <cell r="L2311">
            <v>0</v>
          </cell>
        </row>
        <row r="2312">
          <cell r="D2312" t="str">
            <v xml:space="preserve">  N.134.            </v>
          </cell>
          <cell r="E2312" t="str">
            <v xml:space="preserve">      </v>
          </cell>
          <cell r="F2312" t="str">
            <v>4.1.1.1.</v>
          </cell>
          <cell r="G2312" t="str">
            <v xml:space="preserve">Tubo de PVC branco para esgoto  </v>
          </cell>
          <cell r="H2312" t="str">
            <v xml:space="preserve">      </v>
          </cell>
          <cell r="I2312">
            <v>0</v>
          </cell>
          <cell r="J2312">
            <v>0</v>
          </cell>
          <cell r="K2312">
            <v>0</v>
          </cell>
          <cell r="L2312">
            <v>0</v>
          </cell>
        </row>
        <row r="2313">
          <cell r="D2313" t="str">
            <v xml:space="preserve">  N.135.            </v>
          </cell>
          <cell r="E2313" t="str">
            <v>CP1935</v>
          </cell>
          <cell r="F2313" t="str">
            <v>4.1.1.1.1</v>
          </cell>
          <cell r="G2313" t="str">
            <v xml:space="preserve">Tubo de PVC branco para esgoto DN 200  </v>
          </cell>
          <cell r="H2313" t="str">
            <v xml:space="preserve">m     </v>
          </cell>
          <cell r="I2313">
            <v>78</v>
          </cell>
          <cell r="J2313">
            <v>43.01</v>
          </cell>
          <cell r="K2313">
            <v>35.99</v>
          </cell>
          <cell r="L2313">
            <v>3354.78</v>
          </cell>
        </row>
        <row r="2314">
          <cell r="D2314" t="str">
            <v xml:space="preserve">  N.136.            </v>
          </cell>
          <cell r="E2314" t="str">
            <v>CP0663</v>
          </cell>
          <cell r="F2314" t="str">
            <v>4.1.1.1.2</v>
          </cell>
          <cell r="G2314" t="str">
            <v xml:space="preserve">Tubo de PVC branco para esgoto DN 150  </v>
          </cell>
          <cell r="H2314" t="str">
            <v xml:space="preserve">m     </v>
          </cell>
          <cell r="I2314">
            <v>132</v>
          </cell>
          <cell r="J2314">
            <v>16.23</v>
          </cell>
          <cell r="K2314">
            <v>13.57</v>
          </cell>
          <cell r="L2314">
            <v>2142.36</v>
          </cell>
        </row>
        <row r="2315">
          <cell r="D2315" t="str">
            <v xml:space="preserve">  N.137.            </v>
          </cell>
          <cell r="E2315" t="str">
            <v>CP0665</v>
          </cell>
          <cell r="F2315" t="str">
            <v>4.1.1.1.3</v>
          </cell>
          <cell r="G2315" t="str">
            <v xml:space="preserve">Tubo de PVC branco para esgoto DN 100  </v>
          </cell>
          <cell r="H2315" t="str">
            <v xml:space="preserve">m     </v>
          </cell>
          <cell r="I2315">
            <v>660</v>
          </cell>
          <cell r="J2315">
            <v>7.77</v>
          </cell>
          <cell r="K2315">
            <v>6.48</v>
          </cell>
          <cell r="L2315">
            <v>5128.2</v>
          </cell>
        </row>
        <row r="2316">
          <cell r="D2316" t="str">
            <v xml:space="preserve">  N.138.            </v>
          </cell>
          <cell r="E2316" t="str">
            <v xml:space="preserve">      </v>
          </cell>
          <cell r="F2316" t="str">
            <v>4.1.2.</v>
          </cell>
          <cell r="G2316" t="str">
            <v xml:space="preserve">PVC ÁGUA FRIA  </v>
          </cell>
          <cell r="H2316" t="str">
            <v xml:space="preserve">      </v>
          </cell>
          <cell r="I2316">
            <v>0</v>
          </cell>
          <cell r="J2316">
            <v>0</v>
          </cell>
          <cell r="K2316">
            <v>0</v>
          </cell>
          <cell r="L2316">
            <v>0</v>
          </cell>
        </row>
        <row r="2317">
          <cell r="D2317" t="str">
            <v xml:space="preserve">  N.139.            </v>
          </cell>
          <cell r="E2317" t="str">
            <v xml:space="preserve">      </v>
          </cell>
          <cell r="F2317" t="str">
            <v>4.1.2.1.</v>
          </cell>
          <cell r="G2317" t="str">
            <v xml:space="preserve">Tubo de PVC soldável:  </v>
          </cell>
          <cell r="H2317" t="str">
            <v xml:space="preserve">      </v>
          </cell>
          <cell r="I2317">
            <v>0</v>
          </cell>
          <cell r="J2317">
            <v>0</v>
          </cell>
          <cell r="K2317">
            <v>0</v>
          </cell>
          <cell r="L2317">
            <v>0</v>
          </cell>
        </row>
        <row r="2318">
          <cell r="D2318" t="str">
            <v xml:space="preserve">  N.140.            </v>
          </cell>
          <cell r="E2318" t="str">
            <v>CP0901</v>
          </cell>
          <cell r="F2318" t="str">
            <v>4.1.2.1.1</v>
          </cell>
          <cell r="G2318" t="str">
            <v xml:space="preserve">Tubo de PVC soldável: DN 20  </v>
          </cell>
          <cell r="H2318" t="str">
            <v xml:space="preserve">m     </v>
          </cell>
          <cell r="I2318">
            <v>96</v>
          </cell>
          <cell r="J2318">
            <v>1.19</v>
          </cell>
          <cell r="K2318">
            <v>1</v>
          </cell>
          <cell r="L2318">
            <v>114.24</v>
          </cell>
        </row>
        <row r="2319">
          <cell r="D2319" t="str">
            <v xml:space="preserve">  N.141.            </v>
          </cell>
          <cell r="E2319" t="str">
            <v>CP0896</v>
          </cell>
          <cell r="F2319" t="str">
            <v>4.1.2.1.2</v>
          </cell>
          <cell r="G2319" t="str">
            <v xml:space="preserve">Tubo de PVC soldável: DN 25  </v>
          </cell>
          <cell r="H2319" t="str">
            <v xml:space="preserve">m     </v>
          </cell>
          <cell r="I2319">
            <v>1158</v>
          </cell>
          <cell r="J2319">
            <v>1.71</v>
          </cell>
          <cell r="K2319">
            <v>1.43</v>
          </cell>
          <cell r="L2319">
            <v>1980.18</v>
          </cell>
        </row>
        <row r="2320">
          <cell r="D2320" t="str">
            <v xml:space="preserve">  N.142.            </v>
          </cell>
          <cell r="E2320" t="str">
            <v>CP0891</v>
          </cell>
          <cell r="F2320" t="str">
            <v>4.1.2.1.3</v>
          </cell>
          <cell r="G2320" t="str">
            <v xml:space="preserve">Tubo de PVC soldável: DN 32  </v>
          </cell>
          <cell r="H2320" t="str">
            <v xml:space="preserve">m     </v>
          </cell>
          <cell r="I2320">
            <v>96</v>
          </cell>
          <cell r="J2320">
            <v>2.68</v>
          </cell>
          <cell r="K2320">
            <v>2.2400000000000002</v>
          </cell>
          <cell r="L2320">
            <v>257.27999999999997</v>
          </cell>
        </row>
        <row r="2321">
          <cell r="D2321" t="str">
            <v xml:space="preserve">  N.143.            </v>
          </cell>
          <cell r="E2321" t="str">
            <v>CP0887</v>
          </cell>
          <cell r="F2321" t="str">
            <v>4.1.2.1.4</v>
          </cell>
          <cell r="G2321" t="str">
            <v xml:space="preserve">Tubo de PVC soldável: DN 40  </v>
          </cell>
          <cell r="H2321" t="str">
            <v xml:space="preserve">m     </v>
          </cell>
          <cell r="I2321">
            <v>150</v>
          </cell>
          <cell r="J2321">
            <v>3.9</v>
          </cell>
          <cell r="K2321">
            <v>3.27</v>
          </cell>
          <cell r="L2321">
            <v>585</v>
          </cell>
        </row>
        <row r="2322">
          <cell r="D2322" t="str">
            <v xml:space="preserve">  N.144.            </v>
          </cell>
          <cell r="E2322" t="str">
            <v>CP0881</v>
          </cell>
          <cell r="F2322" t="str">
            <v>4.1.2.1.5</v>
          </cell>
          <cell r="G2322" t="str">
            <v xml:space="preserve">Tubo de PVC soldável: DN 50  </v>
          </cell>
          <cell r="H2322" t="str">
            <v xml:space="preserve">m     </v>
          </cell>
          <cell r="I2322">
            <v>72</v>
          </cell>
          <cell r="J2322">
            <v>6.02</v>
          </cell>
          <cell r="K2322">
            <v>5.04</v>
          </cell>
          <cell r="L2322">
            <v>433.44</v>
          </cell>
        </row>
        <row r="2323">
          <cell r="D2323" t="str">
            <v xml:space="preserve">  N.145.            </v>
          </cell>
          <cell r="E2323" t="str">
            <v>CP0876</v>
          </cell>
          <cell r="F2323" t="str">
            <v>4.1.2.1.6</v>
          </cell>
          <cell r="G2323" t="str">
            <v xml:space="preserve">Tubo de PVC soldável: DN 60  </v>
          </cell>
          <cell r="H2323" t="str">
            <v xml:space="preserve">m     </v>
          </cell>
          <cell r="I2323">
            <v>282</v>
          </cell>
          <cell r="J2323">
            <v>8</v>
          </cell>
          <cell r="K2323">
            <v>6.72</v>
          </cell>
          <cell r="L2323">
            <v>2256</v>
          </cell>
        </row>
        <row r="2324">
          <cell r="D2324" t="str">
            <v xml:space="preserve">  N.146.            </v>
          </cell>
          <cell r="E2324" t="str">
            <v xml:space="preserve">      </v>
          </cell>
          <cell r="F2324" t="str">
            <v>4.1.2.2.</v>
          </cell>
          <cell r="G2324" t="str">
            <v xml:space="preserve">Conexões e Aparelhos Hidráulicos PVC ÁGUA FRIA Bucha de redução soldável curta:  </v>
          </cell>
          <cell r="H2324" t="str">
            <v xml:space="preserve">      </v>
          </cell>
          <cell r="I2324">
            <v>0</v>
          </cell>
          <cell r="J2324">
            <v>0</v>
          </cell>
          <cell r="K2324">
            <v>0</v>
          </cell>
          <cell r="L2324">
            <v>0</v>
          </cell>
        </row>
        <row r="2325">
          <cell r="D2325" t="str">
            <v xml:space="preserve">  N.147.            </v>
          </cell>
          <cell r="E2325" t="str">
            <v>CP0786</v>
          </cell>
          <cell r="F2325" t="str">
            <v>4.1.2.2.1</v>
          </cell>
          <cell r="G2325" t="str">
            <v xml:space="preserve">Conexões e Aparelhos Hidráulicos PVC ÁGUA FRIA Bucha de redução soldável curta: DN 50 x 40  </v>
          </cell>
          <cell r="H2325" t="str">
            <v xml:space="preserve">pç    </v>
          </cell>
          <cell r="I2325">
            <v>1</v>
          </cell>
          <cell r="J2325">
            <v>1.53</v>
          </cell>
          <cell r="K2325">
            <v>1.27</v>
          </cell>
          <cell r="L2325">
            <v>1.53</v>
          </cell>
        </row>
        <row r="2326">
          <cell r="D2326" t="str">
            <v xml:space="preserve">  N.148.            </v>
          </cell>
          <cell r="E2326" t="str">
            <v>CP0853</v>
          </cell>
          <cell r="F2326" t="str">
            <v>4.1.2.2.2</v>
          </cell>
          <cell r="G2326" t="str">
            <v xml:space="preserve">Conexões e Aparelhos Hidráulicos PVC ÁGUA FRIA Bucha de redução soldável curta: DN 32 x 25  </v>
          </cell>
          <cell r="H2326" t="str">
            <v xml:space="preserve">pç    </v>
          </cell>
          <cell r="I2326">
            <v>1</v>
          </cell>
          <cell r="J2326">
            <v>0.42</v>
          </cell>
          <cell r="K2326">
            <v>0.35</v>
          </cell>
          <cell r="L2326">
            <v>0.42</v>
          </cell>
        </row>
        <row r="2327">
          <cell r="D2327" t="str">
            <v xml:space="preserve">  N.149.            </v>
          </cell>
          <cell r="E2327" t="str">
            <v>CP0856</v>
          </cell>
          <cell r="F2327" t="str">
            <v>4.1.2.2.3</v>
          </cell>
          <cell r="G2327" t="str">
            <v xml:space="preserve">Conexões e Aparelhos Hidráulicos PVC ÁGUA FRIA Bucha de redução soldável curta: DN 25 x 20  </v>
          </cell>
          <cell r="H2327" t="str">
            <v xml:space="preserve">pç    </v>
          </cell>
          <cell r="I2327">
            <v>3</v>
          </cell>
          <cell r="J2327">
            <v>0.21</v>
          </cell>
          <cell r="K2327">
            <v>0.18</v>
          </cell>
          <cell r="L2327">
            <v>0.63</v>
          </cell>
        </row>
        <row r="2328">
          <cell r="D2328" t="str">
            <v xml:space="preserve">  N.150.            </v>
          </cell>
          <cell r="E2328" t="str">
            <v xml:space="preserve">      </v>
          </cell>
          <cell r="F2328" t="str">
            <v>4.1.2.3.</v>
          </cell>
          <cell r="G2328" t="str">
            <v xml:space="preserve">Conexões e Aparelhos Hidráulicos PVC ÁGUA FRIA Bucha de redução soldável longa:  </v>
          </cell>
          <cell r="H2328" t="str">
            <v xml:space="preserve">      </v>
          </cell>
          <cell r="I2328">
            <v>0</v>
          </cell>
          <cell r="J2328">
            <v>0</v>
          </cell>
          <cell r="K2328">
            <v>0</v>
          </cell>
          <cell r="L2328">
            <v>0</v>
          </cell>
        </row>
        <row r="2329">
          <cell r="D2329" t="str">
            <v xml:space="preserve">  N.151.            </v>
          </cell>
          <cell r="E2329" t="str">
            <v>CP0764</v>
          </cell>
          <cell r="F2329" t="str">
            <v>4.1.2.3.1</v>
          </cell>
          <cell r="G2329" t="str">
            <v xml:space="preserve">Conexões e Aparelhos Hidráulicos PVC ÁGUA FRIA Bucha de redução soldável longa: DN 60 x 50  </v>
          </cell>
          <cell r="H2329" t="str">
            <v xml:space="preserve">pç    </v>
          </cell>
          <cell r="I2329">
            <v>1</v>
          </cell>
          <cell r="J2329">
            <v>3.88</v>
          </cell>
          <cell r="K2329">
            <v>3.26</v>
          </cell>
          <cell r="L2329">
            <v>3.88</v>
          </cell>
        </row>
        <row r="2330">
          <cell r="D2330" t="str">
            <v xml:space="preserve">  N.152.            </v>
          </cell>
          <cell r="E2330" t="str">
            <v>CP0766</v>
          </cell>
          <cell r="F2330" t="str">
            <v>4.1.2.3.2</v>
          </cell>
          <cell r="G2330" t="str">
            <v xml:space="preserve">Conexões e Aparelhos Hidráulicos PVC ÁGUA FRIA Bucha de redução soldável longa: DN 60 x 32  </v>
          </cell>
          <cell r="H2330" t="str">
            <v xml:space="preserve">pç    </v>
          </cell>
          <cell r="I2330">
            <v>6</v>
          </cell>
          <cell r="J2330">
            <v>1.49</v>
          </cell>
          <cell r="K2330">
            <v>1.24</v>
          </cell>
          <cell r="L2330">
            <v>8.94</v>
          </cell>
        </row>
        <row r="2331">
          <cell r="D2331" t="str">
            <v xml:space="preserve">  N.153.            </v>
          </cell>
          <cell r="E2331" t="str">
            <v>CP0770</v>
          </cell>
          <cell r="F2331" t="str">
            <v>4.1.2.3.3</v>
          </cell>
          <cell r="G2331" t="str">
            <v xml:space="preserve">Conexões e Aparelhos Hidráulicos PVC ÁGUA FRIA Bucha de redução soldável longa: DN 40 x 25  </v>
          </cell>
          <cell r="H2331" t="str">
            <v xml:space="preserve">pç    </v>
          </cell>
          <cell r="I2331">
            <v>2</v>
          </cell>
          <cell r="J2331">
            <v>0.55000000000000004</v>
          </cell>
          <cell r="K2331">
            <v>0.46</v>
          </cell>
          <cell r="L2331">
            <v>1.1000000000000001</v>
          </cell>
        </row>
        <row r="2332">
          <cell r="D2332" t="str">
            <v xml:space="preserve">  N.154.            </v>
          </cell>
          <cell r="E2332" t="str">
            <v>CP0772</v>
          </cell>
          <cell r="F2332" t="str">
            <v>4.1.2.3.4</v>
          </cell>
          <cell r="G2332" t="str">
            <v xml:space="preserve">Conexões e Aparelhos Hidráulicos PVC ÁGUA FRIA Bucha de redução soldável longa: DN 32 x 20  </v>
          </cell>
          <cell r="H2332" t="str">
            <v xml:space="preserve">pç    </v>
          </cell>
          <cell r="I2332">
            <v>2</v>
          </cell>
          <cell r="J2332">
            <v>0.36</v>
          </cell>
          <cell r="K2332">
            <v>0.3</v>
          </cell>
          <cell r="L2332">
            <v>0.72</v>
          </cell>
        </row>
        <row r="2333">
          <cell r="D2333" t="str">
            <v xml:space="preserve">  N.155.            </v>
          </cell>
          <cell r="E2333" t="str">
            <v xml:space="preserve">      </v>
          </cell>
          <cell r="F2333" t="str">
            <v>4.1.2.4.</v>
          </cell>
          <cell r="G2333" t="str">
            <v xml:space="preserve">Conexões e Aparelhos Hidráulicos PVC ÁGUA FRIA Joelho 90o soldável:  </v>
          </cell>
          <cell r="H2333" t="str">
            <v xml:space="preserve">      </v>
          </cell>
          <cell r="I2333">
            <v>0</v>
          </cell>
          <cell r="J2333">
            <v>0</v>
          </cell>
          <cell r="K2333">
            <v>0</v>
          </cell>
          <cell r="L2333">
            <v>0</v>
          </cell>
        </row>
        <row r="2334">
          <cell r="D2334" t="str">
            <v xml:space="preserve">  N.156.            </v>
          </cell>
          <cell r="E2334" t="str">
            <v>CP0826</v>
          </cell>
          <cell r="F2334" t="str">
            <v>4.1.2.4.1</v>
          </cell>
          <cell r="G2334" t="str">
            <v xml:space="preserve">Conexões e Aparelhos Hidráulicos PVC ÁGUA FRIA Joelho 90o soldável: DN 60  </v>
          </cell>
          <cell r="H2334" t="str">
            <v xml:space="preserve">pç    </v>
          </cell>
          <cell r="I2334">
            <v>5</v>
          </cell>
          <cell r="J2334">
            <v>10.65</v>
          </cell>
          <cell r="K2334">
            <v>8.89</v>
          </cell>
          <cell r="L2334">
            <v>53.25</v>
          </cell>
        </row>
        <row r="2335">
          <cell r="D2335" t="str">
            <v xml:space="preserve">  N.157.            </v>
          </cell>
          <cell r="E2335" t="str">
            <v>CP0836</v>
          </cell>
          <cell r="F2335" t="str">
            <v>4.1.2.4.2</v>
          </cell>
          <cell r="G2335" t="str">
            <v xml:space="preserve">Conexões e Aparelhos Hidráulicos PVC ÁGUA FRIA Joelho 90o soldável: DN 40  </v>
          </cell>
          <cell r="H2335" t="str">
            <v xml:space="preserve">pç    </v>
          </cell>
          <cell r="I2335">
            <v>1</v>
          </cell>
          <cell r="J2335">
            <v>2.5299999999999998</v>
          </cell>
          <cell r="K2335">
            <v>2.12</v>
          </cell>
          <cell r="L2335">
            <v>2.5299999999999998</v>
          </cell>
        </row>
        <row r="2336">
          <cell r="D2336" t="str">
            <v xml:space="preserve">  N.158.            </v>
          </cell>
          <cell r="E2336" t="str">
            <v>CP0839</v>
          </cell>
          <cell r="F2336" t="str">
            <v>4.1.2.4.3</v>
          </cell>
          <cell r="G2336" t="str">
            <v xml:space="preserve">Conexões e Aparelhos Hidráulicos PVC ÁGUA FRIA Joelho 90o soldável: DN 32  </v>
          </cell>
          <cell r="H2336" t="str">
            <v xml:space="preserve">pç    </v>
          </cell>
          <cell r="I2336">
            <v>5</v>
          </cell>
          <cell r="J2336">
            <v>0.42</v>
          </cell>
          <cell r="K2336">
            <v>0.86</v>
          </cell>
          <cell r="L2336">
            <v>2.1</v>
          </cell>
        </row>
        <row r="2337">
          <cell r="D2337" t="str">
            <v xml:space="preserve">  N.159.            </v>
          </cell>
          <cell r="E2337" t="str">
            <v>CP0844</v>
          </cell>
          <cell r="F2337" t="str">
            <v>4.1.2.4.4</v>
          </cell>
          <cell r="G2337" t="str">
            <v xml:space="preserve">Conexões e Aparelhos Hidráulicos PVC ÁGUA FRIA Joelho 90o soldável: DN 25  </v>
          </cell>
          <cell r="H2337" t="str">
            <v xml:space="preserve">pç    </v>
          </cell>
          <cell r="I2337">
            <v>42</v>
          </cell>
          <cell r="J2337">
            <v>0.28000000000000003</v>
          </cell>
          <cell r="K2337">
            <v>0.35</v>
          </cell>
          <cell r="L2337">
            <v>11.76</v>
          </cell>
        </row>
        <row r="2338">
          <cell r="D2338" t="str">
            <v xml:space="preserve">  N.160.            </v>
          </cell>
          <cell r="E2338" t="str">
            <v xml:space="preserve">      </v>
          </cell>
          <cell r="F2338" t="str">
            <v>4.1.2.5.</v>
          </cell>
          <cell r="G2338" t="str">
            <v xml:space="preserve">Conexões e Aparelhos Hidráulicos PVC ÁGUA FRIA Joelho 90o soldável com bucha de latão:  </v>
          </cell>
          <cell r="H2338" t="str">
            <v xml:space="preserve">      </v>
          </cell>
          <cell r="I2338">
            <v>0</v>
          </cell>
          <cell r="J2338">
            <v>0</v>
          </cell>
          <cell r="K2338">
            <v>0</v>
          </cell>
          <cell r="L2338">
            <v>0</v>
          </cell>
        </row>
        <row r="2339">
          <cell r="D2339" t="str">
            <v xml:space="preserve">  N.161.            </v>
          </cell>
          <cell r="E2339" t="str">
            <v>CP2221</v>
          </cell>
          <cell r="F2339" t="str">
            <v>4.1.2.5.1</v>
          </cell>
          <cell r="G2339" t="str">
            <v xml:space="preserve">Conexões e Aparelhos Hidráulicos PVC ÁGUA FRIA Joelho 90o soldável com bucha de latão: DN 20 x 1/2  </v>
          </cell>
          <cell r="H2339" t="str">
            <v xml:space="preserve">pç    </v>
          </cell>
          <cell r="I2339">
            <v>9</v>
          </cell>
          <cell r="J2339">
            <v>3.22</v>
          </cell>
          <cell r="K2339">
            <v>4.0999999999999996</v>
          </cell>
          <cell r="L2339">
            <v>28.98</v>
          </cell>
        </row>
        <row r="2340">
          <cell r="D2340" t="str">
            <v xml:space="preserve">  N.162.            </v>
          </cell>
          <cell r="E2340" t="str">
            <v xml:space="preserve">      </v>
          </cell>
          <cell r="F2340" t="str">
            <v>4.1.2.6.</v>
          </cell>
          <cell r="G2340" t="str">
            <v xml:space="preserve">Conexões e Aparelhos Hidráulicos PVC ÁGUA FRIA Joelho 45o soldável:  </v>
          </cell>
          <cell r="H2340" t="str">
            <v xml:space="preserve">      </v>
          </cell>
          <cell r="I2340">
            <v>0</v>
          </cell>
          <cell r="J2340">
            <v>0</v>
          </cell>
          <cell r="K2340">
            <v>0</v>
          </cell>
          <cell r="L2340">
            <v>0</v>
          </cell>
        </row>
        <row r="2341">
          <cell r="D2341" t="str">
            <v xml:space="preserve">  N.163.            </v>
          </cell>
          <cell r="E2341" t="str">
            <v>CP0827</v>
          </cell>
          <cell r="F2341" t="str">
            <v>4.1.2.6.1</v>
          </cell>
          <cell r="G2341" t="str">
            <v xml:space="preserve">Conexões e Aparelhos Hidráulicos PVC ÁGUA FRIA Joelho 45o soldável: DN 60  </v>
          </cell>
          <cell r="H2341" t="str">
            <v xml:space="preserve">pç    </v>
          </cell>
          <cell r="I2341">
            <v>2</v>
          </cell>
          <cell r="J2341">
            <v>14.11</v>
          </cell>
          <cell r="K2341">
            <v>16.98</v>
          </cell>
          <cell r="L2341">
            <v>28.22</v>
          </cell>
        </row>
        <row r="2342">
          <cell r="D2342" t="str">
            <v xml:space="preserve">  N.164.            </v>
          </cell>
          <cell r="E2342" t="str">
            <v xml:space="preserve">      </v>
          </cell>
          <cell r="F2342" t="str">
            <v>4.1.2.7.</v>
          </cell>
          <cell r="G2342" t="str">
            <v xml:space="preserve">Conexões e Aparelhos Hidráulicos PVC ÁGUA FRIA Tê 90o soldável:  </v>
          </cell>
          <cell r="H2342" t="str">
            <v xml:space="preserve">      </v>
          </cell>
          <cell r="I2342">
            <v>0</v>
          </cell>
          <cell r="J2342">
            <v>0</v>
          </cell>
          <cell r="K2342">
            <v>0</v>
          </cell>
          <cell r="L2342">
            <v>0</v>
          </cell>
        </row>
        <row r="2343">
          <cell r="D2343" t="str">
            <v xml:space="preserve">  N.165.            </v>
          </cell>
          <cell r="E2343" t="str">
            <v>CP0683</v>
          </cell>
          <cell r="F2343" t="str">
            <v>4.1.2.7.1</v>
          </cell>
          <cell r="G2343" t="str">
            <v xml:space="preserve">Conexões e Aparelhos Hidráulicos PVC ÁGUA FRIA Tê 90o soldável: DN 60  </v>
          </cell>
          <cell r="H2343" t="str">
            <v xml:space="preserve">pç    </v>
          </cell>
          <cell r="I2343">
            <v>5</v>
          </cell>
          <cell r="J2343">
            <v>14.59</v>
          </cell>
          <cell r="K2343">
            <v>13.32</v>
          </cell>
          <cell r="L2343">
            <v>72.95</v>
          </cell>
        </row>
        <row r="2344">
          <cell r="D2344" t="str">
            <v xml:space="preserve">  N.166.            </v>
          </cell>
          <cell r="E2344" t="str">
            <v>CP0686</v>
          </cell>
          <cell r="F2344" t="str">
            <v>4.1.2.7.2</v>
          </cell>
          <cell r="G2344" t="str">
            <v xml:space="preserve">Conexões e Aparelhos Hidráulicos PVC ÁGUA FRIA Tê 90o soldável: DN 40  </v>
          </cell>
          <cell r="H2344" t="str">
            <v xml:space="preserve">pç    </v>
          </cell>
          <cell r="I2344">
            <v>2</v>
          </cell>
          <cell r="J2344">
            <v>4.59</v>
          </cell>
          <cell r="K2344">
            <v>3.83</v>
          </cell>
          <cell r="L2344">
            <v>9.18</v>
          </cell>
        </row>
        <row r="2345">
          <cell r="D2345" t="str">
            <v xml:space="preserve">  N.167.            </v>
          </cell>
          <cell r="E2345" t="str">
            <v xml:space="preserve">      </v>
          </cell>
          <cell r="F2345" t="str">
            <v>4.1.2.8.</v>
          </cell>
          <cell r="G2345" t="str">
            <v xml:space="preserve">Conexões e Aparelhos Hidráulicos PVC ÁGUA FRIA Tê de redução 90o soldável:  </v>
          </cell>
          <cell r="H2345" t="str">
            <v xml:space="preserve">      </v>
          </cell>
          <cell r="I2345">
            <v>0</v>
          </cell>
          <cell r="J2345">
            <v>0</v>
          </cell>
          <cell r="K2345">
            <v>0</v>
          </cell>
          <cell r="L2345">
            <v>0</v>
          </cell>
        </row>
        <row r="2346">
          <cell r="D2346" t="str">
            <v xml:space="preserve">  N.168.            </v>
          </cell>
          <cell r="E2346" t="str">
            <v>CP2159</v>
          </cell>
          <cell r="F2346" t="str">
            <v>4.1.2.8.1</v>
          </cell>
          <cell r="G2346" t="str">
            <v xml:space="preserve">Conexões e Aparelhos Hidráulicos PVC ÁGUA FRIA Tê de redução 90o soldável: DN 50 x 32  </v>
          </cell>
          <cell r="H2346" t="str">
            <v xml:space="preserve">pç    </v>
          </cell>
          <cell r="I2346">
            <v>1</v>
          </cell>
          <cell r="J2346">
            <v>7.26</v>
          </cell>
          <cell r="K2346">
            <v>9.7100000000000009</v>
          </cell>
          <cell r="L2346">
            <v>7.26</v>
          </cell>
        </row>
        <row r="2347">
          <cell r="D2347" t="str">
            <v xml:space="preserve">  N.169.            </v>
          </cell>
          <cell r="E2347" t="str">
            <v>CP0812</v>
          </cell>
          <cell r="F2347" t="str">
            <v>4.1.2.8.2</v>
          </cell>
          <cell r="G2347" t="str">
            <v xml:space="preserve">Conexões e Aparelhos Hidráulicos PVC ÁGUA FRIA Tê de redução 90o soldável: DN 40 x 32  </v>
          </cell>
          <cell r="H2347" t="str">
            <v xml:space="preserve">pç    </v>
          </cell>
          <cell r="I2347">
            <v>1</v>
          </cell>
          <cell r="J2347">
            <v>4.26</v>
          </cell>
          <cell r="K2347">
            <v>3.56</v>
          </cell>
          <cell r="L2347">
            <v>4.26</v>
          </cell>
        </row>
        <row r="2348">
          <cell r="D2348" t="str">
            <v xml:space="preserve">  N.170.            </v>
          </cell>
          <cell r="E2348" t="str">
            <v>CP2238</v>
          </cell>
          <cell r="F2348" t="str">
            <v>4.1.2.8.3</v>
          </cell>
          <cell r="G2348" t="str">
            <v xml:space="preserve">Conexões e Aparelhos Hidráulicos PVC ÁGUA FRIA Tê de redução 90o soldável: DN 40 x 20  </v>
          </cell>
          <cell r="H2348" t="str">
            <v xml:space="preserve">pç    </v>
          </cell>
          <cell r="I2348">
            <v>1</v>
          </cell>
          <cell r="J2348">
            <v>10.4</v>
          </cell>
          <cell r="K2348">
            <v>14.86</v>
          </cell>
          <cell r="L2348">
            <v>10.4</v>
          </cell>
        </row>
        <row r="2349">
          <cell r="D2349" t="str">
            <v xml:space="preserve">  N.171.            </v>
          </cell>
          <cell r="E2349" t="str">
            <v>CP0815</v>
          </cell>
          <cell r="F2349" t="str">
            <v>4.1.2.8.4</v>
          </cell>
          <cell r="G2349" t="str">
            <v xml:space="preserve">Conexões e Aparelhos Hidráulicos PVC ÁGUA FRIA Tê de redução 90o soldável: DN 25 x 20  </v>
          </cell>
          <cell r="H2349" t="str">
            <v xml:space="preserve">pç    </v>
          </cell>
          <cell r="I2349">
            <v>2</v>
          </cell>
          <cell r="J2349">
            <v>1.59</v>
          </cell>
          <cell r="K2349">
            <v>1.33</v>
          </cell>
          <cell r="L2349">
            <v>3.18</v>
          </cell>
        </row>
        <row r="2350">
          <cell r="D2350" t="str">
            <v xml:space="preserve">  N.172.            </v>
          </cell>
          <cell r="E2350" t="str">
            <v xml:space="preserve">      </v>
          </cell>
          <cell r="F2350" t="str">
            <v>4.1.3.</v>
          </cell>
          <cell r="G2350" t="str">
            <v xml:space="preserve">PVC ROSCÁVEL  </v>
          </cell>
          <cell r="H2350" t="str">
            <v xml:space="preserve">      </v>
          </cell>
          <cell r="I2350">
            <v>0</v>
          </cell>
          <cell r="J2350">
            <v>0</v>
          </cell>
          <cell r="K2350">
            <v>0</v>
          </cell>
          <cell r="L2350">
            <v>0</v>
          </cell>
        </row>
        <row r="2351">
          <cell r="D2351" t="str">
            <v xml:space="preserve">  N.173.            </v>
          </cell>
          <cell r="E2351" t="str">
            <v xml:space="preserve">      </v>
          </cell>
          <cell r="F2351" t="str">
            <v>4.1.3.1.</v>
          </cell>
          <cell r="G2351" t="str">
            <v xml:space="preserve">PVC ROSCÁVEL Bucha de redução com rosca:  </v>
          </cell>
          <cell r="H2351" t="str">
            <v xml:space="preserve">      </v>
          </cell>
          <cell r="I2351">
            <v>0</v>
          </cell>
          <cell r="J2351">
            <v>0</v>
          </cell>
          <cell r="K2351">
            <v>0</v>
          </cell>
          <cell r="L2351">
            <v>0</v>
          </cell>
        </row>
        <row r="2352">
          <cell r="D2352" t="str">
            <v xml:space="preserve">  N.174.            </v>
          </cell>
          <cell r="E2352" t="str">
            <v>CP0915</v>
          </cell>
          <cell r="F2352" t="str">
            <v>4.1.3.1.1</v>
          </cell>
          <cell r="G2352" t="str">
            <v xml:space="preserve">PVC ROSCÁVEL Bucha de redução com rosca: ø 3/4 x 1/2  </v>
          </cell>
          <cell r="H2352" t="str">
            <v xml:space="preserve">pç    </v>
          </cell>
          <cell r="I2352">
            <v>8</v>
          </cell>
          <cell r="J2352">
            <v>0.38</v>
          </cell>
          <cell r="K2352">
            <v>0.32</v>
          </cell>
          <cell r="L2352">
            <v>3.04</v>
          </cell>
        </row>
        <row r="2353">
          <cell r="D2353" t="str">
            <v xml:space="preserve">  N.175.            </v>
          </cell>
          <cell r="E2353" t="str">
            <v xml:space="preserve">      </v>
          </cell>
          <cell r="F2353" t="str">
            <v>4.1.3.2.</v>
          </cell>
          <cell r="G2353" t="str">
            <v xml:space="preserve">PVC ROSCÁVEL Niple com rosca:  </v>
          </cell>
          <cell r="H2353" t="str">
            <v xml:space="preserve">      </v>
          </cell>
          <cell r="I2353">
            <v>0</v>
          </cell>
          <cell r="J2353">
            <v>0</v>
          </cell>
          <cell r="K2353">
            <v>0</v>
          </cell>
          <cell r="L2353">
            <v>0</v>
          </cell>
        </row>
        <row r="2354">
          <cell r="D2354" t="str">
            <v xml:space="preserve">  N.176.            </v>
          </cell>
          <cell r="E2354" t="str">
            <v>CP2328</v>
          </cell>
          <cell r="F2354" t="str">
            <v>4.1.3.2.1</v>
          </cell>
          <cell r="G2354" t="str">
            <v xml:space="preserve">PVC ROSCÁVEL Niple com rosca: ø 3/4  </v>
          </cell>
          <cell r="H2354" t="str">
            <v xml:space="preserve">pç    </v>
          </cell>
          <cell r="I2354">
            <v>24</v>
          </cell>
          <cell r="J2354">
            <v>0.52</v>
          </cell>
          <cell r="K2354">
            <v>0.44</v>
          </cell>
          <cell r="L2354">
            <v>12.48</v>
          </cell>
        </row>
        <row r="2355">
          <cell r="D2355" t="str">
            <v xml:space="preserve">  N.177.            </v>
          </cell>
          <cell r="E2355" t="str">
            <v xml:space="preserve">      </v>
          </cell>
          <cell r="F2355" t="str">
            <v>4.1.3.3.</v>
          </cell>
          <cell r="G2355" t="str">
            <v xml:space="preserve">PVC ROSCÁVEL Luva com rosca:  </v>
          </cell>
          <cell r="H2355" t="str">
            <v xml:space="preserve">      </v>
          </cell>
          <cell r="I2355">
            <v>0</v>
          </cell>
          <cell r="J2355">
            <v>0</v>
          </cell>
          <cell r="K2355">
            <v>0</v>
          </cell>
          <cell r="L2355">
            <v>0</v>
          </cell>
        </row>
        <row r="2356">
          <cell r="D2356" t="str">
            <v xml:space="preserve">  N.178.            </v>
          </cell>
          <cell r="E2356" t="str">
            <v>CP0911</v>
          </cell>
          <cell r="F2356" t="str">
            <v>4.1.3.3.1</v>
          </cell>
          <cell r="G2356" t="str">
            <v xml:space="preserve">PVC ROSCÁVEL Luva com rosca: ø 3/4  </v>
          </cell>
          <cell r="H2356" t="str">
            <v xml:space="preserve">pç    </v>
          </cell>
          <cell r="I2356">
            <v>6</v>
          </cell>
          <cell r="J2356">
            <v>0.82</v>
          </cell>
          <cell r="K2356">
            <v>0.69</v>
          </cell>
          <cell r="L2356">
            <v>4.92</v>
          </cell>
        </row>
        <row r="2357">
          <cell r="D2357" t="str">
            <v xml:space="preserve">  N.179.            </v>
          </cell>
          <cell r="E2357" t="str">
            <v xml:space="preserve">      </v>
          </cell>
          <cell r="F2357" t="str">
            <v>4.1.4.</v>
          </cell>
          <cell r="G2357" t="str">
            <v xml:space="preserve">PVC RÍGIDO VINILFER DE FoFo JUNTA ELÁSTICA  </v>
          </cell>
          <cell r="H2357" t="str">
            <v xml:space="preserve">      </v>
          </cell>
          <cell r="I2357">
            <v>0</v>
          </cell>
          <cell r="J2357">
            <v>0</v>
          </cell>
          <cell r="K2357">
            <v>0</v>
          </cell>
          <cell r="L2357">
            <v>0</v>
          </cell>
        </row>
        <row r="2358">
          <cell r="D2358" t="str">
            <v xml:space="preserve">  N.180.            </v>
          </cell>
          <cell r="E2358" t="str">
            <v xml:space="preserve">      </v>
          </cell>
          <cell r="F2358" t="str">
            <v>4.1.4.1.</v>
          </cell>
          <cell r="G2358" t="str">
            <v xml:space="preserve">PVC RÍGIDO VINILFER DE FoFo JUNTA ELÁSTICA Tubo PVC DE FoFo:  </v>
          </cell>
          <cell r="H2358" t="str">
            <v xml:space="preserve">      </v>
          </cell>
          <cell r="I2358">
            <v>0</v>
          </cell>
          <cell r="J2358">
            <v>0</v>
          </cell>
          <cell r="K2358">
            <v>0</v>
          </cell>
          <cell r="L2358">
            <v>0</v>
          </cell>
        </row>
        <row r="2359">
          <cell r="D2359" t="str">
            <v xml:space="preserve">  N.181.            </v>
          </cell>
          <cell r="E2359" t="str">
            <v>CP0951</v>
          </cell>
          <cell r="F2359" t="str">
            <v>4.1.4.1.1</v>
          </cell>
          <cell r="G2359" t="str">
            <v xml:space="preserve">PVC RÍGIDO VINILFER DE FoFo JUNTA ELÁSTICA Tubo PVC DE FoFo: DN 150  </v>
          </cell>
          <cell r="H2359" t="str">
            <v xml:space="preserve">m     </v>
          </cell>
          <cell r="I2359">
            <v>54</v>
          </cell>
          <cell r="J2359">
            <v>29.39</v>
          </cell>
          <cell r="K2359">
            <v>41.99</v>
          </cell>
          <cell r="L2359">
            <v>1587.06</v>
          </cell>
        </row>
        <row r="2360">
          <cell r="D2360" t="str">
            <v xml:space="preserve">  N.182.            </v>
          </cell>
          <cell r="E2360" t="str">
            <v xml:space="preserve">      </v>
          </cell>
          <cell r="F2360" t="str">
            <v>4.1.5.</v>
          </cell>
          <cell r="G2360" t="str">
            <v xml:space="preserve">FERRO FUNDIDO, JUNTA ELÁSTICA  </v>
          </cell>
          <cell r="H2360" t="str">
            <v xml:space="preserve">      </v>
          </cell>
          <cell r="I2360">
            <v>0</v>
          </cell>
          <cell r="J2360">
            <v>0</v>
          </cell>
          <cell r="K2360">
            <v>0</v>
          </cell>
          <cell r="L2360">
            <v>0</v>
          </cell>
        </row>
        <row r="2361">
          <cell r="D2361" t="str">
            <v xml:space="preserve">  N.183.            </v>
          </cell>
          <cell r="E2361" t="str">
            <v xml:space="preserve">      </v>
          </cell>
          <cell r="F2361" t="str">
            <v>4.1.5.1.</v>
          </cell>
          <cell r="G2361" t="str">
            <v xml:space="preserve">FERRO FUNDIDO, JUNTA ELÁSTICA Tê  </v>
          </cell>
          <cell r="H2361" t="str">
            <v xml:space="preserve">      </v>
          </cell>
          <cell r="I2361">
            <v>0</v>
          </cell>
          <cell r="J2361">
            <v>0</v>
          </cell>
          <cell r="K2361">
            <v>0</v>
          </cell>
          <cell r="L2361">
            <v>0</v>
          </cell>
        </row>
        <row r="2362">
          <cell r="D2362" t="str">
            <v xml:space="preserve">  N.184.            </v>
          </cell>
          <cell r="E2362" t="str">
            <v>CP1010</v>
          </cell>
          <cell r="F2362" t="str">
            <v>4.1.5.1.1</v>
          </cell>
          <cell r="G2362" t="str">
            <v xml:space="preserve">FERRO FUNDIDO, JUNTA ELÁSTICA Tê DN 150 x 150  </v>
          </cell>
          <cell r="H2362" t="str">
            <v xml:space="preserve">pç    </v>
          </cell>
          <cell r="I2362">
            <v>4</v>
          </cell>
          <cell r="J2362">
            <v>361.42</v>
          </cell>
          <cell r="K2362">
            <v>349.87</v>
          </cell>
          <cell r="L2362">
            <v>1445.68</v>
          </cell>
        </row>
        <row r="2363">
          <cell r="D2363" t="str">
            <v xml:space="preserve">  N.185.            </v>
          </cell>
          <cell r="E2363" t="str">
            <v xml:space="preserve">      </v>
          </cell>
          <cell r="F2363" t="str">
            <v>4.1.5.2.</v>
          </cell>
          <cell r="G2363" t="str">
            <v xml:space="preserve">FERRO FUNDIDO, JUNTA ELÁSTICA Redução ponta e bolsa para interligação com PVC:  </v>
          </cell>
          <cell r="H2363" t="str">
            <v xml:space="preserve">      </v>
          </cell>
          <cell r="I2363">
            <v>0</v>
          </cell>
          <cell r="J2363">
            <v>0</v>
          </cell>
          <cell r="K2363">
            <v>0</v>
          </cell>
          <cell r="L2363">
            <v>0</v>
          </cell>
        </row>
        <row r="2364">
          <cell r="D2364" t="str">
            <v xml:space="preserve">  N.186.            </v>
          </cell>
          <cell r="E2364" t="str">
            <v>CP1809</v>
          </cell>
          <cell r="F2364" t="str">
            <v>4.1.5.2.1</v>
          </cell>
          <cell r="G2364" t="str">
            <v xml:space="preserve">FERRO FUNDIDO, JUNTA ELÁSTICA Redução ponta e bolsa para interligação com PVC: DN 150 x 50  </v>
          </cell>
          <cell r="H2364" t="str">
            <v xml:space="preserve">pç    </v>
          </cell>
          <cell r="I2364">
            <v>3</v>
          </cell>
          <cell r="J2364">
            <v>36.35</v>
          </cell>
          <cell r="K2364">
            <v>30.48</v>
          </cell>
          <cell r="L2364">
            <v>109.05</v>
          </cell>
        </row>
        <row r="2365">
          <cell r="D2365" t="str">
            <v xml:space="preserve">  N.187.            </v>
          </cell>
          <cell r="E2365" t="str">
            <v xml:space="preserve">      </v>
          </cell>
          <cell r="F2365" t="str">
            <v>4.1.5.3.</v>
          </cell>
          <cell r="G2365" t="str">
            <v xml:space="preserve">FERRO FUNDIDO, JUNTA ELÁSTICA Colar de Tomada:  </v>
          </cell>
          <cell r="H2365" t="str">
            <v xml:space="preserve">      </v>
          </cell>
          <cell r="I2365">
            <v>0</v>
          </cell>
          <cell r="J2365">
            <v>0</v>
          </cell>
          <cell r="K2365">
            <v>0</v>
          </cell>
          <cell r="L2365">
            <v>0</v>
          </cell>
        </row>
        <row r="2366">
          <cell r="D2366" t="str">
            <v xml:space="preserve">  N.188.            </v>
          </cell>
          <cell r="E2366" t="str">
            <v>CP0980</v>
          </cell>
          <cell r="F2366" t="str">
            <v>4.1.5.3.1</v>
          </cell>
          <cell r="G2366" t="str">
            <v xml:space="preserve">FERRO FUNDIDO, JUNTA ELÁSTICA Colar de Tomada: DN 150 x 1/2  </v>
          </cell>
          <cell r="H2366" t="str">
            <v xml:space="preserve">pç    </v>
          </cell>
          <cell r="I2366">
            <v>2</v>
          </cell>
          <cell r="J2366">
            <v>10.210000000000001</v>
          </cell>
          <cell r="K2366">
            <v>8.5500000000000007</v>
          </cell>
          <cell r="L2366">
            <v>20.420000000000002</v>
          </cell>
        </row>
        <row r="2367">
          <cell r="D2367" t="str">
            <v xml:space="preserve">  N.189.            </v>
          </cell>
          <cell r="E2367" t="str">
            <v xml:space="preserve">      </v>
          </cell>
          <cell r="F2367" t="str">
            <v>4.1.6.</v>
          </cell>
          <cell r="G2367" t="str">
            <v xml:space="preserve">DIVERSOS  </v>
          </cell>
          <cell r="H2367" t="str">
            <v xml:space="preserve">      </v>
          </cell>
          <cell r="I2367">
            <v>0</v>
          </cell>
          <cell r="J2367">
            <v>0</v>
          </cell>
          <cell r="K2367">
            <v>0</v>
          </cell>
          <cell r="L2367">
            <v>0</v>
          </cell>
        </row>
        <row r="2368">
          <cell r="D2368" t="str">
            <v xml:space="preserve">  N.190.            </v>
          </cell>
          <cell r="E2368" t="str">
            <v xml:space="preserve">      </v>
          </cell>
          <cell r="F2368" t="str">
            <v>4.1.6.1.</v>
          </cell>
          <cell r="G2368" t="str">
            <v xml:space="preserve">Torneira:  </v>
          </cell>
          <cell r="H2368" t="str">
            <v xml:space="preserve">      </v>
          </cell>
          <cell r="I2368">
            <v>0</v>
          </cell>
          <cell r="J2368">
            <v>0</v>
          </cell>
          <cell r="K2368">
            <v>0</v>
          </cell>
          <cell r="L2368">
            <v>0</v>
          </cell>
        </row>
        <row r="2369">
          <cell r="D2369" t="str">
            <v xml:space="preserve">  N.191.            </v>
          </cell>
          <cell r="E2369" t="str">
            <v>CP1675</v>
          </cell>
          <cell r="F2369" t="str">
            <v>4.1.6.1.1</v>
          </cell>
          <cell r="G2369" t="str">
            <v xml:space="preserve">Torneira: para pia com adaptador para mangueira DN 1/2  </v>
          </cell>
          <cell r="H2369" t="str">
            <v xml:space="preserve">un    </v>
          </cell>
          <cell r="I2369">
            <v>9</v>
          </cell>
          <cell r="J2369">
            <v>30.97</v>
          </cell>
          <cell r="K2369">
            <v>25.96</v>
          </cell>
          <cell r="L2369">
            <v>278.73</v>
          </cell>
        </row>
        <row r="2370">
          <cell r="D2370" t="str">
            <v xml:space="preserve">  N.192.            </v>
          </cell>
          <cell r="E2370" t="str">
            <v xml:space="preserve">      </v>
          </cell>
          <cell r="F2370" t="str">
            <v>4.1.6.2.</v>
          </cell>
          <cell r="G2370" t="str">
            <v xml:space="preserve">Registro de gaveta, em bronze, acabamento bruto:  </v>
          </cell>
          <cell r="H2370" t="str">
            <v xml:space="preserve">      </v>
          </cell>
          <cell r="I2370">
            <v>0</v>
          </cell>
          <cell r="J2370">
            <v>0</v>
          </cell>
          <cell r="K2370">
            <v>0</v>
          </cell>
          <cell r="L2370">
            <v>0</v>
          </cell>
        </row>
        <row r="2371">
          <cell r="D2371" t="str">
            <v xml:space="preserve">  N.193.            </v>
          </cell>
          <cell r="E2371" t="str">
            <v>CP0932</v>
          </cell>
          <cell r="F2371" t="str">
            <v>4.1.6.2.1</v>
          </cell>
          <cell r="G2371" t="str">
            <v xml:space="preserve">Registro de gaveta, em bronze, acabamento bruto: DN 3/4  </v>
          </cell>
          <cell r="H2371" t="str">
            <v xml:space="preserve">un    </v>
          </cell>
          <cell r="I2371">
            <v>6</v>
          </cell>
          <cell r="J2371">
            <v>8.4</v>
          </cell>
          <cell r="K2371">
            <v>7.04</v>
          </cell>
          <cell r="L2371">
            <v>50.4</v>
          </cell>
        </row>
        <row r="2372">
          <cell r="D2372" t="str">
            <v xml:space="preserve">  N.194.            </v>
          </cell>
          <cell r="E2372" t="str">
            <v xml:space="preserve">      </v>
          </cell>
          <cell r="F2372" t="str">
            <v>4.1.6.3.</v>
          </cell>
          <cell r="G2372" t="str">
            <v xml:space="preserve">Válvula de retenção:  </v>
          </cell>
          <cell r="H2372" t="str">
            <v xml:space="preserve">      </v>
          </cell>
          <cell r="I2372">
            <v>0</v>
          </cell>
          <cell r="J2372">
            <v>0</v>
          </cell>
          <cell r="K2372">
            <v>0</v>
          </cell>
          <cell r="L2372">
            <v>0</v>
          </cell>
        </row>
        <row r="2373">
          <cell r="D2373" t="str">
            <v xml:space="preserve">  N.195.            </v>
          </cell>
          <cell r="E2373" t="str">
            <v>CP1879</v>
          </cell>
          <cell r="F2373" t="str">
            <v>4.1.6.3.1</v>
          </cell>
          <cell r="G2373" t="str">
            <v xml:space="preserve">Válvula de retenção: DN 3/4  </v>
          </cell>
          <cell r="H2373" t="str">
            <v xml:space="preserve">un    </v>
          </cell>
          <cell r="I2373">
            <v>3</v>
          </cell>
          <cell r="J2373">
            <v>52.18</v>
          </cell>
          <cell r="K2373">
            <v>43.82</v>
          </cell>
          <cell r="L2373">
            <v>156.54</v>
          </cell>
        </row>
        <row r="2374">
          <cell r="D2374" t="str">
            <v xml:space="preserve">  N.196.            </v>
          </cell>
          <cell r="E2374" t="str">
            <v xml:space="preserve">      </v>
          </cell>
          <cell r="F2374" t="str">
            <v>4.2.</v>
          </cell>
          <cell r="G2374" t="str">
            <v xml:space="preserve">Assentamento de Tubos, Peças, Conexões e Aparelhos Hidráulicos  </v>
          </cell>
          <cell r="H2374" t="str">
            <v xml:space="preserve">      </v>
          </cell>
          <cell r="I2374">
            <v>0</v>
          </cell>
          <cell r="J2374">
            <v>0</v>
          </cell>
          <cell r="K2374">
            <v>0</v>
          </cell>
          <cell r="L2374">
            <v>0</v>
          </cell>
        </row>
        <row r="2375">
          <cell r="D2375" t="str">
            <v xml:space="preserve">  N.197.            </v>
          </cell>
          <cell r="E2375" t="str">
            <v xml:space="preserve">      </v>
          </cell>
          <cell r="F2375" t="str">
            <v>4.2.1.</v>
          </cell>
          <cell r="G2375" t="str">
            <v xml:space="preserve">PVC - ESGOTO  </v>
          </cell>
          <cell r="H2375" t="str">
            <v xml:space="preserve">      </v>
          </cell>
          <cell r="I2375">
            <v>0</v>
          </cell>
          <cell r="J2375">
            <v>0</v>
          </cell>
          <cell r="K2375">
            <v>0</v>
          </cell>
          <cell r="L2375">
            <v>0</v>
          </cell>
        </row>
        <row r="2376">
          <cell r="D2376" t="str">
            <v xml:space="preserve">  N.198.            </v>
          </cell>
          <cell r="E2376" t="str">
            <v xml:space="preserve">      </v>
          </cell>
          <cell r="F2376" t="str">
            <v>4.2.1.1.</v>
          </cell>
          <cell r="G2376" t="str">
            <v xml:space="preserve">Tubo e conexões de PVC tipo esgoto:  </v>
          </cell>
          <cell r="H2376" t="str">
            <v xml:space="preserve">      </v>
          </cell>
          <cell r="I2376">
            <v>0</v>
          </cell>
          <cell r="J2376">
            <v>0</v>
          </cell>
          <cell r="K2376">
            <v>0</v>
          </cell>
          <cell r="L2376">
            <v>0</v>
          </cell>
        </row>
        <row r="2377">
          <cell r="D2377" t="str">
            <v xml:space="preserve">  N.199.            </v>
          </cell>
          <cell r="E2377" t="str">
            <v>CP0161</v>
          </cell>
          <cell r="F2377" t="str">
            <v>4.2.1.1.1</v>
          </cell>
          <cell r="G2377" t="str">
            <v xml:space="preserve">Tubo e conexões de PVC tipo esgoto: DN 200  </v>
          </cell>
          <cell r="H2377" t="str">
            <v xml:space="preserve">m     </v>
          </cell>
          <cell r="I2377">
            <v>78</v>
          </cell>
          <cell r="J2377">
            <v>1.88</v>
          </cell>
          <cell r="K2377">
            <v>12.72</v>
          </cell>
          <cell r="L2377">
            <v>146.63999999999999</v>
          </cell>
        </row>
        <row r="2378">
          <cell r="D2378" t="str">
            <v xml:space="preserve">  N.200.            </v>
          </cell>
          <cell r="E2378" t="str">
            <v>CP0481</v>
          </cell>
          <cell r="F2378" t="str">
            <v>4.2.1.1.2</v>
          </cell>
          <cell r="G2378" t="str">
            <v xml:space="preserve">Tubo e conexões de PVC tipo esgoto: DN 150  </v>
          </cell>
          <cell r="H2378" t="str">
            <v xml:space="preserve">m     </v>
          </cell>
          <cell r="I2378">
            <v>132</v>
          </cell>
          <cell r="J2378">
            <v>11.41</v>
          </cell>
          <cell r="K2378">
            <v>9.5299999999999994</v>
          </cell>
          <cell r="L2378">
            <v>1506.12</v>
          </cell>
        </row>
        <row r="2379">
          <cell r="D2379" t="str">
            <v xml:space="preserve">  N.201.            </v>
          </cell>
          <cell r="E2379" t="str">
            <v>CP4604</v>
          </cell>
          <cell r="F2379" t="str">
            <v>4.2.1.1.3</v>
          </cell>
          <cell r="G2379" t="str">
            <v xml:space="preserve">Tubo e conexões de PVC tipo esgoto: DN 100  </v>
          </cell>
          <cell r="H2379" t="str">
            <v xml:space="preserve">m     </v>
          </cell>
          <cell r="I2379">
            <v>660</v>
          </cell>
          <cell r="J2379">
            <v>11.21</v>
          </cell>
          <cell r="K2379">
            <v>9.5299999999999994</v>
          </cell>
          <cell r="L2379">
            <v>7398.6</v>
          </cell>
        </row>
        <row r="2380">
          <cell r="D2380" t="str">
            <v xml:space="preserve">  N.202.            </v>
          </cell>
          <cell r="E2380" t="str">
            <v xml:space="preserve">      </v>
          </cell>
          <cell r="F2380" t="str">
            <v>4.2.1.2.</v>
          </cell>
          <cell r="G2380" t="str">
            <v xml:space="preserve">Tubos e Conexões de PVC soldável:  </v>
          </cell>
          <cell r="H2380" t="str">
            <v xml:space="preserve">      </v>
          </cell>
          <cell r="I2380">
            <v>0</v>
          </cell>
          <cell r="J2380">
            <v>0</v>
          </cell>
          <cell r="K2380">
            <v>0</v>
          </cell>
          <cell r="L2380">
            <v>0</v>
          </cell>
        </row>
        <row r="2381">
          <cell r="D2381" t="str">
            <v xml:space="preserve">  N.203.            </v>
          </cell>
          <cell r="E2381" t="str">
            <v>CP0575</v>
          </cell>
          <cell r="F2381" t="str">
            <v>4.2.1.2.1</v>
          </cell>
          <cell r="G2381" t="str">
            <v xml:space="preserve">Tubos e Conexões de PVC soldável: DN 20  </v>
          </cell>
          <cell r="H2381" t="str">
            <v xml:space="preserve">m     </v>
          </cell>
          <cell r="I2381">
            <v>96</v>
          </cell>
          <cell r="J2381">
            <v>5.82</v>
          </cell>
          <cell r="K2381">
            <v>6.85</v>
          </cell>
          <cell r="L2381">
            <v>558.72</v>
          </cell>
        </row>
        <row r="2382">
          <cell r="D2382" t="str">
            <v xml:space="preserve">  N.204.            </v>
          </cell>
          <cell r="E2382" t="str">
            <v>CP0575</v>
          </cell>
          <cell r="F2382" t="str">
            <v>4.2.1.2.2</v>
          </cell>
          <cell r="G2382" t="str">
            <v xml:space="preserve">Tubos e Conexões de PVC soldável: DN 25  </v>
          </cell>
          <cell r="H2382" t="str">
            <v xml:space="preserve">m     </v>
          </cell>
          <cell r="I2382">
            <v>1158</v>
          </cell>
          <cell r="J2382">
            <v>5.82</v>
          </cell>
          <cell r="K2382">
            <v>6.85</v>
          </cell>
          <cell r="L2382">
            <v>6739.56</v>
          </cell>
        </row>
        <row r="2383">
          <cell r="D2383" t="str">
            <v xml:space="preserve">  N.205.            </v>
          </cell>
          <cell r="E2383" t="str">
            <v>CP0575</v>
          </cell>
          <cell r="F2383" t="str">
            <v>4.2.1.2.3</v>
          </cell>
          <cell r="G2383" t="str">
            <v xml:space="preserve">Tubos e Conexões de PVC soldável: DN 32  </v>
          </cell>
          <cell r="H2383" t="str">
            <v xml:space="preserve">m     </v>
          </cell>
          <cell r="I2383">
            <v>96</v>
          </cell>
          <cell r="J2383">
            <v>5.82</v>
          </cell>
          <cell r="K2383">
            <v>7.95</v>
          </cell>
          <cell r="L2383">
            <v>558.72</v>
          </cell>
        </row>
        <row r="2384">
          <cell r="D2384" t="str">
            <v xml:space="preserve">  N.206.            </v>
          </cell>
          <cell r="E2384" t="str">
            <v>CP0570</v>
          </cell>
          <cell r="F2384" t="str">
            <v>4.2.1.2.4</v>
          </cell>
          <cell r="G2384" t="str">
            <v xml:space="preserve">Tubos e Conexões de PVC soldável: DN 40  </v>
          </cell>
          <cell r="H2384" t="str">
            <v xml:space="preserve">m     </v>
          </cell>
          <cell r="I2384">
            <v>150</v>
          </cell>
          <cell r="J2384">
            <v>5.82</v>
          </cell>
          <cell r="K2384">
            <v>8.44</v>
          </cell>
          <cell r="L2384">
            <v>873</v>
          </cell>
        </row>
        <row r="2385">
          <cell r="D2385" t="str">
            <v xml:space="preserve">  N.207.            </v>
          </cell>
          <cell r="E2385" t="str">
            <v>CP0154</v>
          </cell>
          <cell r="F2385" t="str">
            <v>4.2.1.2.5</v>
          </cell>
          <cell r="G2385" t="str">
            <v xml:space="preserve">Tubos e Conexões de PVC soldável: DN 50  </v>
          </cell>
          <cell r="H2385" t="str">
            <v xml:space="preserve">m     </v>
          </cell>
          <cell r="I2385">
            <v>72</v>
          </cell>
          <cell r="J2385">
            <v>1.23</v>
          </cell>
          <cell r="K2385">
            <v>10.02</v>
          </cell>
          <cell r="L2385">
            <v>88.56</v>
          </cell>
        </row>
        <row r="2386">
          <cell r="D2386" t="str">
            <v xml:space="preserve">  N.208.            </v>
          </cell>
          <cell r="E2386" t="str">
            <v>CP0154</v>
          </cell>
          <cell r="F2386" t="str">
            <v>4.2.1.2.6</v>
          </cell>
          <cell r="G2386" t="str">
            <v xml:space="preserve">Tubos e Conexões de PVC soldável: DN 60  </v>
          </cell>
          <cell r="H2386" t="str">
            <v xml:space="preserve">m     </v>
          </cell>
          <cell r="I2386">
            <v>282</v>
          </cell>
          <cell r="J2386">
            <v>1.23</v>
          </cell>
          <cell r="K2386">
            <v>11.61</v>
          </cell>
          <cell r="L2386">
            <v>346.86</v>
          </cell>
        </row>
        <row r="2387">
          <cell r="D2387" t="str">
            <v xml:space="preserve">  N.209.            </v>
          </cell>
          <cell r="E2387" t="str">
            <v xml:space="preserve">      </v>
          </cell>
          <cell r="F2387" t="str">
            <v>4.2.2.</v>
          </cell>
          <cell r="G2387" t="str">
            <v xml:space="preserve">Tubo PVC DE FoFo:  </v>
          </cell>
          <cell r="H2387" t="str">
            <v xml:space="preserve">      </v>
          </cell>
          <cell r="I2387">
            <v>0</v>
          </cell>
          <cell r="J2387">
            <v>0</v>
          </cell>
          <cell r="K2387">
            <v>0</v>
          </cell>
          <cell r="L2387">
            <v>0</v>
          </cell>
        </row>
        <row r="2388">
          <cell r="D2388" t="str">
            <v xml:space="preserve">  N.210.            </v>
          </cell>
          <cell r="E2388" t="str">
            <v>CP0161</v>
          </cell>
          <cell r="F2388" t="str">
            <v>4.2.2.1.</v>
          </cell>
          <cell r="G2388" t="str">
            <v xml:space="preserve">Tubo PVC DE FoFo: DN 150  </v>
          </cell>
          <cell r="H2388" t="str">
            <v xml:space="preserve">m     </v>
          </cell>
          <cell r="I2388">
            <v>54</v>
          </cell>
          <cell r="J2388">
            <v>1.88</v>
          </cell>
          <cell r="K2388">
            <v>1.57</v>
          </cell>
          <cell r="L2388">
            <v>101.52</v>
          </cell>
        </row>
        <row r="2389">
          <cell r="D2389" t="str">
            <v xml:space="preserve">  N.211.            </v>
          </cell>
          <cell r="E2389" t="str">
            <v xml:space="preserve">      </v>
          </cell>
          <cell r="F2389" t="str">
            <v>4.2.3.</v>
          </cell>
          <cell r="G2389" t="str">
            <v xml:space="preserve">Aparelhos Hidráulicos  </v>
          </cell>
          <cell r="H2389" t="str">
            <v xml:space="preserve">      </v>
          </cell>
          <cell r="I2389">
            <v>0</v>
          </cell>
          <cell r="J2389">
            <v>0</v>
          </cell>
          <cell r="K2389">
            <v>0</v>
          </cell>
          <cell r="L2389">
            <v>0</v>
          </cell>
        </row>
        <row r="2390">
          <cell r="D2390" t="str">
            <v xml:space="preserve">  N.212.            </v>
          </cell>
          <cell r="E2390" t="str">
            <v xml:space="preserve">      </v>
          </cell>
          <cell r="F2390" t="str">
            <v>4.2.4.</v>
          </cell>
          <cell r="G2390" t="str">
            <v xml:space="preserve">Conjunto de metais  </v>
          </cell>
          <cell r="H2390" t="str">
            <v xml:space="preserve">      </v>
          </cell>
          <cell r="I2390">
            <v>0</v>
          </cell>
          <cell r="J2390">
            <v>0</v>
          </cell>
          <cell r="K2390">
            <v>0</v>
          </cell>
          <cell r="L2390">
            <v>0</v>
          </cell>
        </row>
        <row r="2391">
          <cell r="D2391" t="str">
            <v xml:space="preserve">  N.213.            </v>
          </cell>
          <cell r="E2391" t="str">
            <v>CP0528</v>
          </cell>
          <cell r="F2391" t="str">
            <v>4.2.4.1.</v>
          </cell>
          <cell r="G2391" t="str">
            <v xml:space="preserve">Conjunto de metais Para pia  </v>
          </cell>
          <cell r="H2391" t="str">
            <v xml:space="preserve">un    </v>
          </cell>
          <cell r="I2391">
            <v>9</v>
          </cell>
          <cell r="J2391">
            <v>28.37</v>
          </cell>
          <cell r="K2391">
            <v>23.99</v>
          </cell>
          <cell r="L2391">
            <v>255.33</v>
          </cell>
        </row>
        <row r="2392">
          <cell r="D2392" t="str">
            <v xml:space="preserve">  N.214.            </v>
          </cell>
          <cell r="E2392" t="str">
            <v xml:space="preserve">      </v>
          </cell>
          <cell r="F2392" t="str">
            <v>4.2.5.</v>
          </cell>
          <cell r="G2392" t="str">
            <v xml:space="preserve">Registro de gaveta:  </v>
          </cell>
          <cell r="H2392" t="str">
            <v xml:space="preserve">      </v>
          </cell>
          <cell r="I2392">
            <v>0</v>
          </cell>
          <cell r="J2392">
            <v>0</v>
          </cell>
          <cell r="K2392">
            <v>0</v>
          </cell>
          <cell r="L2392">
            <v>0</v>
          </cell>
        </row>
        <row r="2393">
          <cell r="D2393" t="str">
            <v xml:space="preserve">  N.215.            </v>
          </cell>
          <cell r="E2393" t="str">
            <v>CP0457</v>
          </cell>
          <cell r="F2393" t="str">
            <v>4.2.5.1.</v>
          </cell>
          <cell r="G2393" t="str">
            <v xml:space="preserve">Registro de gaveta: DN 3/4  </v>
          </cell>
          <cell r="H2393" t="str">
            <v xml:space="preserve">un    </v>
          </cell>
          <cell r="I2393">
            <v>6</v>
          </cell>
          <cell r="J2393">
            <v>9.33</v>
          </cell>
          <cell r="K2393">
            <v>12.26</v>
          </cell>
          <cell r="L2393">
            <v>55.98</v>
          </cell>
        </row>
        <row r="2394">
          <cell r="D2394" t="str">
            <v xml:space="preserve">  N.216.            </v>
          </cell>
          <cell r="E2394" t="str">
            <v xml:space="preserve">      </v>
          </cell>
          <cell r="F2394" t="str">
            <v>5.</v>
          </cell>
          <cell r="G2394" t="str">
            <v xml:space="preserve">Fornecimento de Materiais para Instalações de Processo  </v>
          </cell>
          <cell r="H2394" t="str">
            <v xml:space="preserve">      </v>
          </cell>
          <cell r="I2394">
            <v>0</v>
          </cell>
          <cell r="J2394">
            <v>0</v>
          </cell>
          <cell r="K2394">
            <v>0</v>
          </cell>
          <cell r="L2394">
            <v>0</v>
          </cell>
        </row>
        <row r="2395">
          <cell r="D2395" t="str">
            <v xml:space="preserve">  N.217.            </v>
          </cell>
          <cell r="E2395" t="str">
            <v xml:space="preserve">      </v>
          </cell>
          <cell r="F2395" t="str">
            <v>5.1.</v>
          </cell>
          <cell r="G2395" t="str">
            <v xml:space="preserve">Tubos em polipropileno soldáveis conforme norma DIN-8077, pressão nominal de 10 kg/cm², TUBELLI ou similar  </v>
          </cell>
          <cell r="H2395" t="str">
            <v xml:space="preserve">      </v>
          </cell>
          <cell r="I2395">
            <v>0</v>
          </cell>
          <cell r="J2395">
            <v>0</v>
          </cell>
          <cell r="K2395">
            <v>0</v>
          </cell>
          <cell r="L2395">
            <v>0</v>
          </cell>
        </row>
        <row r="2396">
          <cell r="D2396" t="str">
            <v xml:space="preserve">  N.218.            </v>
          </cell>
          <cell r="E2396" t="str">
            <v>CP0733</v>
          </cell>
          <cell r="F2396" t="str">
            <v>5.1.1.</v>
          </cell>
          <cell r="G2396" t="str">
            <v xml:space="preserve">Tubos em polipropileno soldáveis conforme norma DIN-8077, pressão nominal de 10 kg/cm², TUBELLI ou similar Tubo DN 85  </v>
          </cell>
          <cell r="H2396" t="str">
            <v xml:space="preserve">m     </v>
          </cell>
          <cell r="I2396">
            <v>156</v>
          </cell>
          <cell r="J2396">
            <v>22.81</v>
          </cell>
          <cell r="K2396">
            <v>19.02</v>
          </cell>
          <cell r="L2396">
            <v>3558.36</v>
          </cell>
        </row>
        <row r="2397">
          <cell r="D2397" t="str">
            <v xml:space="preserve">  N.219.            </v>
          </cell>
          <cell r="E2397" t="str">
            <v>CP0736</v>
          </cell>
          <cell r="F2397" t="str">
            <v>5.1.2.</v>
          </cell>
          <cell r="G2397" t="str">
            <v xml:space="preserve">Tubos em polipropileno soldáveis conforme norma DIN-8077, pressão nominal de 10 kg/cm², TUBELLI ou similar Tubo DN 75  </v>
          </cell>
          <cell r="H2397" t="str">
            <v xml:space="preserve">m     </v>
          </cell>
          <cell r="I2397">
            <v>84</v>
          </cell>
          <cell r="J2397">
            <v>14.57</v>
          </cell>
          <cell r="K2397">
            <v>13.28</v>
          </cell>
          <cell r="L2397">
            <v>1223.8800000000001</v>
          </cell>
        </row>
        <row r="2398">
          <cell r="D2398" t="str">
            <v xml:space="preserve">  N.220.            </v>
          </cell>
          <cell r="E2398" t="str">
            <v>CP2132</v>
          </cell>
          <cell r="F2398" t="str">
            <v>5.1.3.</v>
          </cell>
          <cell r="G2398" t="str">
            <v xml:space="preserve">Tubos em polipropileno soldáveis conforme norma DIN-8077, pressão nominal de 10 kg/cm², TUBELLI ou similar Tubo DN 32  </v>
          </cell>
          <cell r="H2398" t="str">
            <v xml:space="preserve">m     </v>
          </cell>
          <cell r="I2398">
            <v>96</v>
          </cell>
          <cell r="J2398">
            <v>3.62</v>
          </cell>
          <cell r="K2398">
            <v>3.2</v>
          </cell>
          <cell r="L2398">
            <v>347.52</v>
          </cell>
        </row>
        <row r="2399">
          <cell r="D2399" t="str">
            <v xml:space="preserve">  N.221.            </v>
          </cell>
          <cell r="E2399" t="str">
            <v>CP2205</v>
          </cell>
          <cell r="F2399" t="str">
            <v>5.1.4.</v>
          </cell>
          <cell r="G2399" t="str">
            <v xml:space="preserve">Tubos em polipropileno soldáveis conforme norma DIN-8077, pressão nominal de 10 kg/cm², TUBELLI ou similar Tubo DN 20  </v>
          </cell>
          <cell r="H2399" t="str">
            <v xml:space="preserve">m     </v>
          </cell>
          <cell r="I2399">
            <v>36</v>
          </cell>
          <cell r="J2399">
            <v>1.72</v>
          </cell>
          <cell r="K2399">
            <v>1.44</v>
          </cell>
          <cell r="L2399">
            <v>61.92</v>
          </cell>
        </row>
        <row r="2400">
          <cell r="D2400" t="str">
            <v xml:space="preserve">  N.222.            </v>
          </cell>
          <cell r="E2400" t="str">
            <v xml:space="preserve">      </v>
          </cell>
          <cell r="F2400" t="str">
            <v>5.2.</v>
          </cell>
          <cell r="G2400" t="str">
            <v xml:space="preserve">Conexões em polipropileno, pressão nominal de 10 kg/cm², TUBELLI ou similar  </v>
          </cell>
          <cell r="H2400" t="str">
            <v xml:space="preserve">      </v>
          </cell>
          <cell r="I2400">
            <v>0</v>
          </cell>
          <cell r="J2400">
            <v>0</v>
          </cell>
          <cell r="K2400">
            <v>0</v>
          </cell>
          <cell r="L2400">
            <v>0</v>
          </cell>
        </row>
        <row r="2401">
          <cell r="D2401" t="str">
            <v xml:space="preserve">  N.223.            </v>
          </cell>
          <cell r="E2401" t="str">
            <v>CP1866</v>
          </cell>
          <cell r="F2401" t="str">
            <v>5.2.1.</v>
          </cell>
          <cell r="G2401" t="str">
            <v xml:space="preserve">Conexões em polipropileno, pressão nominal de 10 kg/cm², TUBELLI ou similar Joelho 90° soldável DN 85  </v>
          </cell>
          <cell r="H2401" t="str">
            <v xml:space="preserve">pç    </v>
          </cell>
          <cell r="I2401">
            <v>10</v>
          </cell>
          <cell r="J2401">
            <v>20.75</v>
          </cell>
          <cell r="K2401">
            <v>17.350000000000001</v>
          </cell>
          <cell r="L2401">
            <v>207.5</v>
          </cell>
        </row>
        <row r="2402">
          <cell r="D2402" t="str">
            <v xml:space="preserve">  N.224.            </v>
          </cell>
          <cell r="E2402" t="str">
            <v>CP1927</v>
          </cell>
          <cell r="F2402" t="str">
            <v>5.2.2.</v>
          </cell>
          <cell r="G2402" t="str">
            <v xml:space="preserve">Conexões em polipropileno, pressão nominal de 10 kg/cm², TUBELLI ou similar Joelho 90° soldável DN 75  </v>
          </cell>
          <cell r="H2402" t="str">
            <v xml:space="preserve">pç    </v>
          </cell>
          <cell r="I2402">
            <v>4</v>
          </cell>
          <cell r="J2402">
            <v>9.8000000000000007</v>
          </cell>
          <cell r="K2402">
            <v>13.82</v>
          </cell>
          <cell r="L2402">
            <v>39.200000000000003</v>
          </cell>
        </row>
        <row r="2403">
          <cell r="D2403" t="str">
            <v xml:space="preserve">  N.225.            </v>
          </cell>
          <cell r="E2403" t="str">
            <v>CP2211</v>
          </cell>
          <cell r="F2403" t="str">
            <v>5.2.3.</v>
          </cell>
          <cell r="G2403" t="str">
            <v xml:space="preserve">Conexões em polipropileno, pressão nominal de 10 kg/cm², TUBELLI ou similar Joelho 90° soldável DN 32  </v>
          </cell>
          <cell r="H2403" t="str">
            <v xml:space="preserve">pç    </v>
          </cell>
          <cell r="I2403">
            <v>6</v>
          </cell>
          <cell r="J2403">
            <v>3.14</v>
          </cell>
          <cell r="K2403">
            <v>4.4800000000000004</v>
          </cell>
          <cell r="L2403">
            <v>18.84</v>
          </cell>
        </row>
        <row r="2404">
          <cell r="D2404" t="str">
            <v xml:space="preserve">  N.226.            </v>
          </cell>
          <cell r="E2404" t="str">
            <v>CP2258</v>
          </cell>
          <cell r="F2404" t="str">
            <v>5.2.4.</v>
          </cell>
          <cell r="G2404" t="str">
            <v xml:space="preserve">Conexões em polipropileno, pressão nominal de 10 kg/cm², TUBELLI ou similar Joelho 90o soldável DN 25  </v>
          </cell>
          <cell r="H2404" t="str">
            <v xml:space="preserve">pç    </v>
          </cell>
          <cell r="I2404">
            <v>10</v>
          </cell>
          <cell r="J2404">
            <v>2.6</v>
          </cell>
          <cell r="K2404">
            <v>3.71</v>
          </cell>
          <cell r="L2404">
            <v>26</v>
          </cell>
        </row>
        <row r="2405">
          <cell r="D2405" t="str">
            <v xml:space="preserve">  N.227.            </v>
          </cell>
          <cell r="E2405" t="str">
            <v>CP2277</v>
          </cell>
          <cell r="F2405" t="str">
            <v>5.2.5.</v>
          </cell>
          <cell r="G2405" t="str">
            <v xml:space="preserve">Conexões em polipropileno, pressão nominal de 10 kg/cm², TUBELLI ou similar Joelho 90° soldável DN 20  </v>
          </cell>
          <cell r="H2405" t="str">
            <v xml:space="preserve">pç    </v>
          </cell>
          <cell r="I2405">
            <v>2</v>
          </cell>
          <cell r="J2405">
            <v>1.97</v>
          </cell>
          <cell r="K2405">
            <v>2.31</v>
          </cell>
          <cell r="L2405">
            <v>3.94</v>
          </cell>
        </row>
        <row r="2406">
          <cell r="D2406" t="str">
            <v xml:space="preserve">  N.228.            </v>
          </cell>
          <cell r="E2406" t="str">
            <v>CP2288</v>
          </cell>
          <cell r="F2406" t="str">
            <v>5.2.6.</v>
          </cell>
          <cell r="G2406" t="str">
            <v xml:space="preserve">Conexões em polipropileno, pressão nominal de 10 kg/cm², TUBELLI ou similar Joelho 45° soldável DN 20  </v>
          </cell>
          <cell r="H2406" t="str">
            <v xml:space="preserve">pç    </v>
          </cell>
          <cell r="I2406">
            <v>2</v>
          </cell>
          <cell r="J2406">
            <v>2.14</v>
          </cell>
          <cell r="K2406">
            <v>3.05</v>
          </cell>
          <cell r="L2406">
            <v>4.28</v>
          </cell>
        </row>
        <row r="2407">
          <cell r="D2407" t="str">
            <v xml:space="preserve">  N.229.            </v>
          </cell>
          <cell r="E2407" t="str">
            <v>CP0724</v>
          </cell>
          <cell r="F2407" t="str">
            <v>5.2.7.</v>
          </cell>
          <cell r="G2407" t="str">
            <v xml:space="preserve">Conexões em polipropileno, pressão nominal de 10 kg/cm², TUBELLI ou similar Tê soldável DN 85  </v>
          </cell>
          <cell r="H2407" t="str">
            <v xml:space="preserve">pç    </v>
          </cell>
          <cell r="I2407">
            <v>2</v>
          </cell>
          <cell r="J2407">
            <v>25.61</v>
          </cell>
          <cell r="K2407">
            <v>29.05</v>
          </cell>
          <cell r="L2407">
            <v>51.22</v>
          </cell>
        </row>
        <row r="2408">
          <cell r="D2408" t="str">
            <v xml:space="preserve">  N.230.            </v>
          </cell>
          <cell r="E2408" t="str">
            <v xml:space="preserve">      </v>
          </cell>
          <cell r="F2408" t="str">
            <v>5.3.</v>
          </cell>
          <cell r="G2408" t="str">
            <v xml:space="preserve">Tubos em aço carbono sem costura, roscável SCHEDULE 40, zincados, MANNESMANN ou similar  </v>
          </cell>
          <cell r="H2408" t="str">
            <v xml:space="preserve">      </v>
          </cell>
          <cell r="I2408">
            <v>0</v>
          </cell>
          <cell r="J2408">
            <v>0</v>
          </cell>
          <cell r="K2408">
            <v>0</v>
          </cell>
          <cell r="L2408">
            <v>0</v>
          </cell>
        </row>
        <row r="2409">
          <cell r="D2409" t="str">
            <v xml:space="preserve">  N.231.            </v>
          </cell>
          <cell r="E2409" t="str">
            <v>CP2013</v>
          </cell>
          <cell r="F2409" t="str">
            <v>5.3.1.</v>
          </cell>
          <cell r="G2409" t="str">
            <v xml:space="preserve">Tubos em aço carbono sem costura, roscável SCHEDULE 40, zincados, MANNESMANN ou similar ø 3/4  </v>
          </cell>
          <cell r="H2409" t="str">
            <v xml:space="preserve">m     </v>
          </cell>
          <cell r="I2409">
            <v>150</v>
          </cell>
          <cell r="J2409">
            <v>16.440000000000001</v>
          </cell>
          <cell r="K2409">
            <v>21.15</v>
          </cell>
          <cell r="L2409">
            <v>2466</v>
          </cell>
        </row>
        <row r="2410">
          <cell r="D2410" t="str">
            <v xml:space="preserve">  N.232.            </v>
          </cell>
          <cell r="E2410" t="str">
            <v>CP2044</v>
          </cell>
          <cell r="F2410" t="str">
            <v>5.3.2.</v>
          </cell>
          <cell r="G2410" t="str">
            <v xml:space="preserve">Tubos em aço carbono sem costura, roscável SCHEDULE 40, zincados, MANNESMANN ou similar ø 1/2  </v>
          </cell>
          <cell r="H2410" t="str">
            <v xml:space="preserve">m     </v>
          </cell>
          <cell r="I2410">
            <v>378</v>
          </cell>
          <cell r="J2410">
            <v>13.94</v>
          </cell>
          <cell r="K2410">
            <v>18.829999999999998</v>
          </cell>
          <cell r="L2410">
            <v>5269.32</v>
          </cell>
        </row>
        <row r="2411">
          <cell r="D2411" t="str">
            <v xml:space="preserve">  N.233.            </v>
          </cell>
          <cell r="E2411" t="str">
            <v xml:space="preserve">      </v>
          </cell>
          <cell r="F2411" t="str">
            <v>5.4.</v>
          </cell>
          <cell r="G2411" t="str">
            <v xml:space="preserve">Conexões em ferro maleável, classe 10 zincadas, TUPY ou similar:  </v>
          </cell>
          <cell r="H2411" t="str">
            <v xml:space="preserve">      </v>
          </cell>
          <cell r="I2411">
            <v>0</v>
          </cell>
          <cell r="J2411">
            <v>0</v>
          </cell>
          <cell r="K2411">
            <v>0</v>
          </cell>
          <cell r="L2411">
            <v>0</v>
          </cell>
        </row>
        <row r="2412">
          <cell r="D2412" t="str">
            <v xml:space="preserve">  N.234.            </v>
          </cell>
          <cell r="E2412" t="str">
            <v>CP2242</v>
          </cell>
          <cell r="F2412" t="str">
            <v>5.4.1.</v>
          </cell>
          <cell r="G2412" t="str">
            <v xml:space="preserve">Conexões em ferro maleável, classe 10 zincadas, TUPY ou similar: Cotovelo 90° com rosca ø 3/4  </v>
          </cell>
          <cell r="H2412" t="str">
            <v xml:space="preserve">pç    </v>
          </cell>
          <cell r="I2412">
            <v>3</v>
          </cell>
          <cell r="J2412">
            <v>1.82</v>
          </cell>
          <cell r="K2412">
            <v>1.52</v>
          </cell>
          <cell r="L2412">
            <v>5.46</v>
          </cell>
        </row>
        <row r="2413">
          <cell r="D2413" t="str">
            <v xml:space="preserve">  N.235.            </v>
          </cell>
          <cell r="E2413" t="str">
            <v>CP2266</v>
          </cell>
          <cell r="F2413" t="str">
            <v>5.4.2.</v>
          </cell>
          <cell r="G2413" t="str">
            <v xml:space="preserve">Conexões em ferro maleável, classe 10 zincadas, TUPY ou similar: Cotovelo 90° com rosca ø 1/2  </v>
          </cell>
          <cell r="H2413" t="str">
            <v xml:space="preserve">pç    </v>
          </cell>
          <cell r="I2413">
            <v>8</v>
          </cell>
          <cell r="J2413">
            <v>1.1299999999999999</v>
          </cell>
          <cell r="K2413">
            <v>0.94</v>
          </cell>
          <cell r="L2413">
            <v>9.0399999999999991</v>
          </cell>
        </row>
        <row r="2414">
          <cell r="D2414" t="str">
            <v xml:space="preserve">  N.236.            </v>
          </cell>
          <cell r="E2414" t="str">
            <v>CP0775</v>
          </cell>
          <cell r="F2414" t="str">
            <v>5.4.3.</v>
          </cell>
          <cell r="G2414" t="str">
            <v xml:space="preserve">Conexões em ferro maleável, classe 10 zincadas, TUPY ou similar: Niple duplo com rosca ø 3/4  </v>
          </cell>
          <cell r="H2414" t="str">
            <v xml:space="preserve">pç    </v>
          </cell>
          <cell r="I2414">
            <v>4</v>
          </cell>
          <cell r="J2414">
            <v>1.62</v>
          </cell>
          <cell r="K2414">
            <v>1.35</v>
          </cell>
          <cell r="L2414">
            <v>6.48</v>
          </cell>
        </row>
        <row r="2415">
          <cell r="D2415" t="str">
            <v xml:space="preserve">  N.237.            </v>
          </cell>
          <cell r="E2415" t="str">
            <v>CP0747</v>
          </cell>
          <cell r="F2415" t="str">
            <v>5.4.4.</v>
          </cell>
          <cell r="G2415" t="str">
            <v xml:space="preserve">Conexões em ferro maleável, classe 10 zincadas, TUPY ou similar: Tê com rosca ø 1 1/2  </v>
          </cell>
          <cell r="H2415" t="str">
            <v xml:space="preserve">pç    </v>
          </cell>
          <cell r="I2415">
            <v>9</v>
          </cell>
          <cell r="J2415">
            <v>3.14</v>
          </cell>
          <cell r="K2415">
            <v>2.62</v>
          </cell>
          <cell r="L2415">
            <v>28.26</v>
          </cell>
        </row>
        <row r="2416">
          <cell r="D2416" t="str">
            <v xml:space="preserve">  N.238.            </v>
          </cell>
          <cell r="E2416" t="str">
            <v>CP0749</v>
          </cell>
          <cell r="F2416" t="str">
            <v>5.4.5.</v>
          </cell>
          <cell r="G2416" t="str">
            <v xml:space="preserve">Conexões em ferro maleável, classe 10 zincadas, TUPY ou similar: Tê com rosca ø 3/4  </v>
          </cell>
          <cell r="H2416" t="str">
            <v xml:space="preserve">pç    </v>
          </cell>
          <cell r="I2416">
            <v>1</v>
          </cell>
          <cell r="J2416">
            <v>2.02</v>
          </cell>
          <cell r="K2416">
            <v>1.69</v>
          </cell>
          <cell r="L2416">
            <v>2.02</v>
          </cell>
        </row>
        <row r="2417">
          <cell r="D2417" t="str">
            <v xml:space="preserve">  N.239.            </v>
          </cell>
          <cell r="E2417" t="str">
            <v>CP0919</v>
          </cell>
          <cell r="F2417" t="str">
            <v>5.4.6.</v>
          </cell>
          <cell r="G2417" t="str">
            <v xml:space="preserve">Conexões em ferro maleável, classe 10 zincadas, TUPY ou similar: União com rosca ø 3/4  </v>
          </cell>
          <cell r="H2417" t="str">
            <v xml:space="preserve">pç    </v>
          </cell>
          <cell r="I2417">
            <v>2</v>
          </cell>
          <cell r="J2417">
            <v>5.65</v>
          </cell>
          <cell r="K2417">
            <v>4.72</v>
          </cell>
          <cell r="L2417">
            <v>11.3</v>
          </cell>
        </row>
        <row r="2418">
          <cell r="D2418" t="str">
            <v xml:space="preserve">  N.240.            </v>
          </cell>
          <cell r="E2418" t="str">
            <v xml:space="preserve">      </v>
          </cell>
          <cell r="F2418" t="str">
            <v>5.5.</v>
          </cell>
          <cell r="G2418" t="str">
            <v xml:space="preserve">Tubo em PVC rígido TIGRE ou similar:  </v>
          </cell>
          <cell r="H2418" t="str">
            <v xml:space="preserve">      </v>
          </cell>
          <cell r="I2418">
            <v>0</v>
          </cell>
          <cell r="J2418">
            <v>0</v>
          </cell>
          <cell r="K2418">
            <v>0</v>
          </cell>
          <cell r="L2418">
            <v>0</v>
          </cell>
        </row>
        <row r="2419">
          <cell r="D2419" t="str">
            <v xml:space="preserve">  N.241.            </v>
          </cell>
          <cell r="E2419" t="str">
            <v>CP2035</v>
          </cell>
          <cell r="F2419" t="str">
            <v>5.5.1.</v>
          </cell>
          <cell r="G2419" t="str">
            <v xml:space="preserve">Tubo em PVC rígido TIGRE ou similar: Tubo soldável D 85  </v>
          </cell>
          <cell r="H2419" t="str">
            <v xml:space="preserve">m     </v>
          </cell>
          <cell r="I2419">
            <v>18</v>
          </cell>
          <cell r="J2419">
            <v>16.25</v>
          </cell>
          <cell r="K2419">
            <v>13.56</v>
          </cell>
          <cell r="L2419">
            <v>292.5</v>
          </cell>
        </row>
        <row r="2420">
          <cell r="D2420" t="str">
            <v xml:space="preserve">  N.242.            </v>
          </cell>
          <cell r="E2420" t="str">
            <v>CP0781</v>
          </cell>
          <cell r="F2420" t="str">
            <v>5.5.2.</v>
          </cell>
          <cell r="G2420" t="str">
            <v xml:space="preserve">Tubo em PVC rígido TIGRE ou similar: Tubo soldável D 75  </v>
          </cell>
          <cell r="H2420" t="str">
            <v xml:space="preserve">m     </v>
          </cell>
          <cell r="I2420">
            <v>258</v>
          </cell>
          <cell r="J2420">
            <v>12.85</v>
          </cell>
          <cell r="K2420">
            <v>10.76</v>
          </cell>
          <cell r="L2420">
            <v>3315.3</v>
          </cell>
        </row>
        <row r="2421">
          <cell r="D2421" t="str">
            <v xml:space="preserve">  N.243.            </v>
          </cell>
          <cell r="E2421" t="str">
            <v>CP0876</v>
          </cell>
          <cell r="F2421" t="str">
            <v>5.5.3.</v>
          </cell>
          <cell r="G2421" t="str">
            <v xml:space="preserve">Tubo em PVC rígido TIGRE ou similar: Tubo soldável D 60  </v>
          </cell>
          <cell r="H2421" t="str">
            <v xml:space="preserve">m     </v>
          </cell>
          <cell r="I2421">
            <v>90</v>
          </cell>
          <cell r="J2421">
            <v>8</v>
          </cell>
          <cell r="K2421">
            <v>6.72</v>
          </cell>
          <cell r="L2421">
            <v>720</v>
          </cell>
        </row>
        <row r="2422">
          <cell r="D2422" t="str">
            <v xml:space="preserve">  N.244.            </v>
          </cell>
          <cell r="E2422" t="str">
            <v xml:space="preserve">      </v>
          </cell>
          <cell r="F2422" t="str">
            <v>5.6.</v>
          </cell>
          <cell r="G2422" t="str">
            <v xml:space="preserve">Conexões em PVC rígido TIGRE ou similar  </v>
          </cell>
          <cell r="H2422" t="str">
            <v xml:space="preserve">      </v>
          </cell>
          <cell r="I2422">
            <v>0</v>
          </cell>
          <cell r="J2422">
            <v>0</v>
          </cell>
          <cell r="K2422">
            <v>0</v>
          </cell>
          <cell r="L2422">
            <v>0</v>
          </cell>
        </row>
        <row r="2423">
          <cell r="D2423" t="str">
            <v xml:space="preserve">  N.245.            </v>
          </cell>
          <cell r="E2423" t="str">
            <v>CP2012</v>
          </cell>
          <cell r="F2423" t="str">
            <v>5.6.1.</v>
          </cell>
          <cell r="G2423" t="str">
            <v xml:space="preserve">Conexões em PVC rígido TIGRE ou similar Bucha de redução soldável curta, D 85 x 75  </v>
          </cell>
          <cell r="H2423" t="str">
            <v xml:space="preserve">pç    </v>
          </cell>
          <cell r="I2423">
            <v>2</v>
          </cell>
          <cell r="J2423">
            <v>9.33</v>
          </cell>
          <cell r="K2423">
            <v>10.130000000000001</v>
          </cell>
          <cell r="L2423">
            <v>18.66</v>
          </cell>
        </row>
        <row r="2424">
          <cell r="D2424" t="str">
            <v xml:space="preserve">  N.246.            </v>
          </cell>
          <cell r="E2424" t="str">
            <v xml:space="preserve">      </v>
          </cell>
          <cell r="F2424" t="str">
            <v>5.6.2.</v>
          </cell>
          <cell r="G2424" t="str">
            <v xml:space="preserve">Conexões em PVC rígido TIGRE ou similar Joelho 90° soldável  </v>
          </cell>
          <cell r="H2424" t="str">
            <v xml:space="preserve">      </v>
          </cell>
          <cell r="I2424">
            <v>0</v>
          </cell>
          <cell r="J2424">
            <v>0</v>
          </cell>
          <cell r="K2424">
            <v>0</v>
          </cell>
          <cell r="L2424">
            <v>0</v>
          </cell>
        </row>
        <row r="2425">
          <cell r="D2425" t="str">
            <v xml:space="preserve">  N.247.            </v>
          </cell>
          <cell r="E2425" t="str">
            <v>CP0760</v>
          </cell>
          <cell r="F2425" t="str">
            <v>5.6.2.1.</v>
          </cell>
          <cell r="G2425" t="str">
            <v xml:space="preserve">Conexões em PVC rígido TIGRE ou similar Joelho 90° soldável D 75  </v>
          </cell>
          <cell r="H2425" t="str">
            <v xml:space="preserve">pç    </v>
          </cell>
          <cell r="I2425">
            <v>5</v>
          </cell>
          <cell r="J2425">
            <v>41.03</v>
          </cell>
          <cell r="K2425">
            <v>34.299999999999997</v>
          </cell>
          <cell r="L2425">
            <v>205.15</v>
          </cell>
        </row>
        <row r="2426">
          <cell r="D2426" t="str">
            <v xml:space="preserve">  N.248.            </v>
          </cell>
          <cell r="E2426" t="str">
            <v>CP0693</v>
          </cell>
          <cell r="F2426" t="str">
            <v>5.6.2.2.</v>
          </cell>
          <cell r="G2426" t="str">
            <v xml:space="preserve">Conexões em PVC rígido TIGRE ou similar Joelho 90° soldável D 60  </v>
          </cell>
          <cell r="H2426" t="str">
            <v xml:space="preserve">pç    </v>
          </cell>
          <cell r="I2426">
            <v>2</v>
          </cell>
          <cell r="J2426">
            <v>10.64</v>
          </cell>
          <cell r="K2426">
            <v>8.89</v>
          </cell>
          <cell r="L2426">
            <v>21.28</v>
          </cell>
        </row>
        <row r="2427">
          <cell r="D2427" t="str">
            <v xml:space="preserve">  N.249.            </v>
          </cell>
          <cell r="E2427" t="str">
            <v xml:space="preserve">      </v>
          </cell>
          <cell r="F2427" t="str">
            <v>5.6.3.</v>
          </cell>
          <cell r="G2427" t="str">
            <v xml:space="preserve">Conexões em PVC rígido TIGRE ou similar Joelho 45° soldável  </v>
          </cell>
          <cell r="H2427" t="str">
            <v xml:space="preserve">      </v>
          </cell>
          <cell r="I2427">
            <v>0</v>
          </cell>
          <cell r="J2427">
            <v>0</v>
          </cell>
          <cell r="K2427">
            <v>0</v>
          </cell>
          <cell r="L2427">
            <v>0</v>
          </cell>
        </row>
        <row r="2428">
          <cell r="D2428" t="str">
            <v xml:space="preserve">  N.250.            </v>
          </cell>
          <cell r="E2428" t="str">
            <v>CP2096</v>
          </cell>
          <cell r="F2428" t="str">
            <v>5.6.3.1.</v>
          </cell>
          <cell r="G2428" t="str">
            <v xml:space="preserve">Conexões em PVC rígido TIGRE ou similar Joelho 45° soldável D 60  </v>
          </cell>
          <cell r="H2428" t="str">
            <v xml:space="preserve">pç    </v>
          </cell>
          <cell r="I2428">
            <v>3</v>
          </cell>
          <cell r="J2428">
            <v>14.11</v>
          </cell>
          <cell r="K2428">
            <v>16.98</v>
          </cell>
          <cell r="L2428">
            <v>42.33</v>
          </cell>
        </row>
        <row r="2429">
          <cell r="D2429" t="str">
            <v xml:space="preserve">  N.251.            </v>
          </cell>
          <cell r="E2429" t="str">
            <v xml:space="preserve">      </v>
          </cell>
          <cell r="F2429" t="str">
            <v>5.6.4.</v>
          </cell>
          <cell r="G2429" t="str">
            <v xml:space="preserve">Conexões em PVC rígido TIGRE ou similar Tê 90° soldável  </v>
          </cell>
          <cell r="H2429" t="str">
            <v xml:space="preserve">      </v>
          </cell>
          <cell r="I2429">
            <v>0</v>
          </cell>
          <cell r="J2429">
            <v>0</v>
          </cell>
          <cell r="K2429">
            <v>0</v>
          </cell>
          <cell r="L2429">
            <v>0</v>
          </cell>
        </row>
        <row r="2430">
          <cell r="D2430" t="str">
            <v xml:space="preserve">  N.252.            </v>
          </cell>
          <cell r="E2430" t="str">
            <v>CP1895</v>
          </cell>
          <cell r="F2430" t="str">
            <v>5.6.4.1.</v>
          </cell>
          <cell r="G2430" t="str">
            <v xml:space="preserve">Conexões em PVC rígido TIGRE ou similar Tê 90° soldável D 85  </v>
          </cell>
          <cell r="H2430" t="str">
            <v xml:space="preserve">pç    </v>
          </cell>
          <cell r="I2430">
            <v>1</v>
          </cell>
          <cell r="J2430">
            <v>51.34</v>
          </cell>
          <cell r="K2430">
            <v>53.07</v>
          </cell>
          <cell r="L2430">
            <v>51.34</v>
          </cell>
        </row>
        <row r="2431">
          <cell r="D2431" t="str">
            <v xml:space="preserve">  N.253.            </v>
          </cell>
          <cell r="E2431" t="str">
            <v>CP1917</v>
          </cell>
          <cell r="F2431" t="str">
            <v>5.6.4.2.</v>
          </cell>
          <cell r="G2431" t="str">
            <v xml:space="preserve">Conexões em PVC rígido TIGRE ou similar Tê 90° soldável D 75  </v>
          </cell>
          <cell r="H2431" t="str">
            <v xml:space="preserve">pç    </v>
          </cell>
          <cell r="I2431">
            <v>2</v>
          </cell>
          <cell r="J2431">
            <v>31.96</v>
          </cell>
          <cell r="K2431">
            <v>38.57</v>
          </cell>
          <cell r="L2431">
            <v>63.92</v>
          </cell>
        </row>
        <row r="2432">
          <cell r="D2432" t="str">
            <v xml:space="preserve">  N.254.            </v>
          </cell>
          <cell r="E2432" t="str">
            <v xml:space="preserve">      </v>
          </cell>
          <cell r="F2432" t="str">
            <v>6.</v>
          </cell>
          <cell r="G2432" t="str">
            <v xml:space="preserve">Assentamento de Materiais para Instalações de Processo  </v>
          </cell>
          <cell r="H2432" t="str">
            <v xml:space="preserve">      </v>
          </cell>
          <cell r="I2432">
            <v>0</v>
          </cell>
          <cell r="J2432">
            <v>0</v>
          </cell>
          <cell r="K2432">
            <v>0</v>
          </cell>
          <cell r="L2432">
            <v>0</v>
          </cell>
        </row>
        <row r="2433">
          <cell r="D2433" t="str">
            <v xml:space="preserve">  N.255.            </v>
          </cell>
          <cell r="E2433" t="str">
            <v xml:space="preserve">      </v>
          </cell>
          <cell r="F2433" t="str">
            <v>6.1.</v>
          </cell>
          <cell r="G2433" t="str">
            <v xml:space="preserve">Tubos e conexões em polipropileno soldáveis conforme norma DIN-8077, pressão nominal de 10 kg/cm², TUBELLI ou similar  </v>
          </cell>
          <cell r="H2433" t="str">
            <v xml:space="preserve">      </v>
          </cell>
          <cell r="I2433">
            <v>0</v>
          </cell>
          <cell r="J2433">
            <v>0</v>
          </cell>
          <cell r="K2433">
            <v>0</v>
          </cell>
          <cell r="L2433">
            <v>0</v>
          </cell>
        </row>
        <row r="2434">
          <cell r="D2434" t="str">
            <v xml:space="preserve">  N.256.            </v>
          </cell>
          <cell r="E2434" t="str">
            <v>CP0163</v>
          </cell>
          <cell r="F2434" t="str">
            <v>6.1.1.</v>
          </cell>
          <cell r="G2434" t="str">
            <v xml:space="preserve">Tubos e conexões em polipropileno soldáveis conforme norma DIN-8077, pressão nominal de 10 kg/cm², TUBELLI ou similar Tubo DN 85  </v>
          </cell>
          <cell r="H2434" t="str">
            <v xml:space="preserve">m     </v>
          </cell>
          <cell r="I2434">
            <v>156</v>
          </cell>
          <cell r="J2434">
            <v>6.66</v>
          </cell>
          <cell r="K2434">
            <v>9.51</v>
          </cell>
          <cell r="L2434">
            <v>1038.96</v>
          </cell>
        </row>
        <row r="2435">
          <cell r="D2435" t="str">
            <v xml:space="preserve">  N.257.            </v>
          </cell>
          <cell r="E2435" t="str">
            <v>CP1039</v>
          </cell>
          <cell r="F2435" t="str">
            <v>6.1.2.</v>
          </cell>
          <cell r="G2435" t="str">
            <v xml:space="preserve">Tubos e conexões em polipropileno soldáveis conforme norma DIN-8077, pressão nominal de 10 kg/cm², TUBELLI ou similar Tubo DN 75  </v>
          </cell>
          <cell r="H2435" t="str">
            <v xml:space="preserve">m     </v>
          </cell>
          <cell r="I2435">
            <v>84</v>
          </cell>
          <cell r="J2435">
            <v>4.6500000000000004</v>
          </cell>
          <cell r="K2435">
            <v>6.64</v>
          </cell>
          <cell r="L2435">
            <v>390.6</v>
          </cell>
        </row>
        <row r="2436">
          <cell r="D2436" t="str">
            <v xml:space="preserve">  N.258.            </v>
          </cell>
          <cell r="E2436" t="str">
            <v>CP4609</v>
          </cell>
          <cell r="F2436" t="str">
            <v>6.1.3.</v>
          </cell>
          <cell r="G2436" t="str">
            <v xml:space="preserve">Tubos e conexões em polipropileno soldáveis conforme norma DIN-8077, pressão nominal de 10 kg/cm², TUBELLI ou similar Tubo DN 32  </v>
          </cell>
          <cell r="H2436" t="str">
            <v xml:space="preserve">m     </v>
          </cell>
          <cell r="I2436">
            <v>96</v>
          </cell>
          <cell r="J2436">
            <v>1.34</v>
          </cell>
          <cell r="K2436">
            <v>1.92</v>
          </cell>
          <cell r="L2436">
            <v>128.63999999999999</v>
          </cell>
        </row>
        <row r="2437">
          <cell r="D2437" t="str">
            <v xml:space="preserve">  N.259.            </v>
          </cell>
          <cell r="E2437" t="str">
            <v>CP4608</v>
          </cell>
          <cell r="F2437" t="str">
            <v>6.1.4.</v>
          </cell>
          <cell r="G2437" t="str">
            <v xml:space="preserve">Tubos e conexões em polipropileno soldáveis conforme norma DIN-8077, pressão nominal de 10 kg/cm², TUBELLI ou similar Tubo DN 20  </v>
          </cell>
          <cell r="H2437" t="str">
            <v xml:space="preserve">m     </v>
          </cell>
          <cell r="I2437">
            <v>36</v>
          </cell>
          <cell r="J2437">
            <v>1.34</v>
          </cell>
          <cell r="K2437">
            <v>1.92</v>
          </cell>
          <cell r="L2437">
            <v>48.24</v>
          </cell>
        </row>
        <row r="2438">
          <cell r="D2438" t="str">
            <v xml:space="preserve">  N.260.            </v>
          </cell>
          <cell r="E2438" t="str">
            <v xml:space="preserve">      </v>
          </cell>
          <cell r="F2438" t="str">
            <v>6.2.</v>
          </cell>
          <cell r="G2438" t="str">
            <v xml:space="preserve">Tubos e conexões em aço carbono sem costura, roscável SCHEDULE 40, zincados, MANNESMANN ou similar  </v>
          </cell>
          <cell r="H2438" t="str">
            <v xml:space="preserve">      </v>
          </cell>
          <cell r="I2438">
            <v>0</v>
          </cell>
          <cell r="J2438">
            <v>0</v>
          </cell>
          <cell r="K2438">
            <v>0</v>
          </cell>
          <cell r="L2438">
            <v>0</v>
          </cell>
        </row>
        <row r="2439">
          <cell r="D2439" t="str">
            <v xml:space="preserve">  N.261.            </v>
          </cell>
          <cell r="E2439" t="str">
            <v>CP0161</v>
          </cell>
          <cell r="F2439" t="str">
            <v>6.2.1.</v>
          </cell>
          <cell r="G2439" t="str">
            <v xml:space="preserve">Tubos e conexões em aço carbono sem costura, roscável SCHEDULE 40, zincados, MANNESMANN ou similar ø 3/4  </v>
          </cell>
          <cell r="H2439" t="str">
            <v xml:space="preserve">m     </v>
          </cell>
          <cell r="I2439">
            <v>150</v>
          </cell>
          <cell r="J2439">
            <v>1.88</v>
          </cell>
          <cell r="K2439">
            <v>12.23</v>
          </cell>
          <cell r="L2439">
            <v>282</v>
          </cell>
        </row>
        <row r="2440">
          <cell r="D2440" t="str">
            <v xml:space="preserve">  N.262.            </v>
          </cell>
          <cell r="E2440" t="str">
            <v>CP0483</v>
          </cell>
          <cell r="F2440" t="str">
            <v>6.2.2.</v>
          </cell>
          <cell r="G2440" t="str">
            <v xml:space="preserve">Tubos e conexões em aço carbono sem costura, roscável SCHEDULE 40, zincados, MANNESMANN ou similar ø 1/2  </v>
          </cell>
          <cell r="H2440" t="str">
            <v xml:space="preserve">m     </v>
          </cell>
          <cell r="I2440">
            <v>378</v>
          </cell>
          <cell r="J2440">
            <v>11.61</v>
          </cell>
          <cell r="K2440">
            <v>9.68</v>
          </cell>
          <cell r="L2440">
            <v>4388.58</v>
          </cell>
        </row>
        <row r="2441">
          <cell r="D2441" t="str">
            <v xml:space="preserve">  N.263.            </v>
          </cell>
          <cell r="E2441" t="str">
            <v xml:space="preserve">      </v>
          </cell>
          <cell r="F2441" t="str">
            <v>6.3.</v>
          </cell>
          <cell r="G2441" t="str">
            <v xml:space="preserve">Tubos e conexões em PVC rígido TIGRE ou similar  </v>
          </cell>
          <cell r="H2441" t="str">
            <v xml:space="preserve">      </v>
          </cell>
          <cell r="I2441">
            <v>0</v>
          </cell>
          <cell r="J2441">
            <v>0</v>
          </cell>
          <cell r="K2441">
            <v>0</v>
          </cell>
          <cell r="L2441">
            <v>0</v>
          </cell>
        </row>
        <row r="2442">
          <cell r="D2442" t="str">
            <v xml:space="preserve">  N.264.            </v>
          </cell>
          <cell r="E2442" t="str">
            <v>CP0154</v>
          </cell>
          <cell r="F2442" t="str">
            <v>6.3.1.</v>
          </cell>
          <cell r="G2442" t="str">
            <v xml:space="preserve">Tubos e conexões em PVC rígido TIGRE ou similar Tubo soldável D 85  </v>
          </cell>
          <cell r="H2442" t="str">
            <v xml:space="preserve">m     </v>
          </cell>
          <cell r="I2442">
            <v>18</v>
          </cell>
          <cell r="J2442">
            <v>1.23</v>
          </cell>
          <cell r="K2442">
            <v>20.12</v>
          </cell>
          <cell r="L2442">
            <v>22.14</v>
          </cell>
        </row>
        <row r="2443">
          <cell r="D2443" t="str">
            <v xml:space="preserve">  N.265.            </v>
          </cell>
          <cell r="E2443" t="str">
            <v>CP0154</v>
          </cell>
          <cell r="F2443" t="str">
            <v>6.3.2.</v>
          </cell>
          <cell r="G2443" t="str">
            <v xml:space="preserve">Tubos e conexões em PVC rígido TIGRE ou similar Tubo soldável D 75  </v>
          </cell>
          <cell r="H2443" t="str">
            <v xml:space="preserve">m     </v>
          </cell>
          <cell r="I2443">
            <v>258</v>
          </cell>
          <cell r="J2443">
            <v>1.23</v>
          </cell>
          <cell r="K2443">
            <v>14.8</v>
          </cell>
          <cell r="L2443">
            <v>317.33999999999997</v>
          </cell>
        </row>
        <row r="2444">
          <cell r="D2444" t="str">
            <v xml:space="preserve">  N.266.            </v>
          </cell>
          <cell r="E2444" t="str">
            <v>CP0154</v>
          </cell>
          <cell r="F2444" t="str">
            <v>6.3.3.</v>
          </cell>
          <cell r="G2444" t="str">
            <v xml:space="preserve">Tubos e conexões em PVC rígido TIGRE ou similar Tubo soldável D 60  </v>
          </cell>
          <cell r="H2444" t="str">
            <v xml:space="preserve">m     </v>
          </cell>
          <cell r="I2444">
            <v>90</v>
          </cell>
          <cell r="J2444">
            <v>1.23</v>
          </cell>
          <cell r="K2444">
            <v>11.61</v>
          </cell>
          <cell r="L2444">
            <v>110.7</v>
          </cell>
        </row>
        <row r="2445">
          <cell r="D2445" t="str">
            <v xml:space="preserve">  N.267.            </v>
          </cell>
          <cell r="E2445" t="str">
            <v xml:space="preserve">      </v>
          </cell>
          <cell r="F2445" t="str">
            <v>7.</v>
          </cell>
          <cell r="G2445" t="str">
            <v xml:space="preserve">Fornecimento de Equipamentos, Válvulas e Miscelâneas Diversas para Instalações de Processo  </v>
          </cell>
          <cell r="H2445" t="str">
            <v xml:space="preserve">      </v>
          </cell>
          <cell r="I2445">
            <v>0</v>
          </cell>
          <cell r="J2445">
            <v>0</v>
          </cell>
          <cell r="K2445">
            <v>0</v>
          </cell>
          <cell r="L2445">
            <v>0</v>
          </cell>
        </row>
        <row r="2446">
          <cell r="D2446" t="str">
            <v xml:space="preserve">  N.268.            </v>
          </cell>
          <cell r="E2446" t="str">
            <v>CP1750</v>
          </cell>
          <cell r="F2446" t="str">
            <v>7.1.</v>
          </cell>
          <cell r="G2446" t="str">
            <v xml:space="preserve">Válvula de esfera em latão roscável ø 3/4  </v>
          </cell>
          <cell r="H2446" t="str">
            <v xml:space="preserve">un    </v>
          </cell>
          <cell r="I2446">
            <v>2</v>
          </cell>
          <cell r="J2446">
            <v>37.89</v>
          </cell>
          <cell r="K2446">
            <v>31.65</v>
          </cell>
          <cell r="L2446">
            <v>75.78</v>
          </cell>
        </row>
        <row r="2447">
          <cell r="D2447" t="str">
            <v xml:space="preserve">  N.269.            </v>
          </cell>
          <cell r="E2447" t="str">
            <v xml:space="preserve">      </v>
          </cell>
          <cell r="F2447" t="str">
            <v>8.</v>
          </cell>
          <cell r="G2447" t="str">
            <v xml:space="preserve">Montagem de Equipamentos, Válvulas e Miscelâneas Diversas para Instalações de Processo  </v>
          </cell>
          <cell r="H2447" t="str">
            <v xml:space="preserve">      </v>
          </cell>
          <cell r="I2447">
            <v>0</v>
          </cell>
          <cell r="J2447">
            <v>0</v>
          </cell>
          <cell r="K2447">
            <v>0</v>
          </cell>
          <cell r="L2447">
            <v>0</v>
          </cell>
        </row>
        <row r="2448">
          <cell r="D2448" t="str">
            <v xml:space="preserve">  N.270.            </v>
          </cell>
          <cell r="E2448" t="str">
            <v>CP0376</v>
          </cell>
          <cell r="F2448" t="str">
            <v>8.1.</v>
          </cell>
          <cell r="G2448" t="str">
            <v xml:space="preserve">Válvula de esfera em latão roscável ø 3/4  </v>
          </cell>
          <cell r="H2448" t="str">
            <v xml:space="preserve">un    </v>
          </cell>
          <cell r="I2448">
            <v>2</v>
          </cell>
          <cell r="J2448">
            <v>18.22</v>
          </cell>
          <cell r="K2448">
            <v>29.59</v>
          </cell>
          <cell r="L2448">
            <v>36.44</v>
          </cell>
        </row>
        <row r="2449">
          <cell r="D2449" t="str">
            <v xml:space="preserve">  O.  1.            </v>
          </cell>
          <cell r="E2449" t="str">
            <v xml:space="preserve">      </v>
          </cell>
          <cell r="F2449" t="str">
            <v>0.XV.</v>
          </cell>
          <cell r="G2449" t="str">
            <v xml:space="preserve">IMPERMEABILIZAÇÃO  </v>
          </cell>
          <cell r="H2449" t="str">
            <v xml:space="preserve">      </v>
          </cell>
          <cell r="I2449">
            <v>0</v>
          </cell>
          <cell r="J2449">
            <v>0</v>
          </cell>
          <cell r="K2449">
            <v>0</v>
          </cell>
          <cell r="L2449">
            <v>0</v>
          </cell>
        </row>
        <row r="2450">
          <cell r="D2450" t="str">
            <v xml:space="preserve">  O.  2.            </v>
          </cell>
          <cell r="E2450" t="str">
            <v xml:space="preserve">      </v>
          </cell>
          <cell r="F2450" t="str">
            <v>1.</v>
          </cell>
          <cell r="G2450" t="str">
            <v xml:space="preserve">Preparação  </v>
          </cell>
          <cell r="H2450" t="str">
            <v xml:space="preserve">      </v>
          </cell>
          <cell r="I2450">
            <v>0</v>
          </cell>
          <cell r="J2450">
            <v>0</v>
          </cell>
          <cell r="K2450">
            <v>0</v>
          </cell>
          <cell r="L2450">
            <v>0</v>
          </cell>
        </row>
        <row r="2451">
          <cell r="D2451" t="str">
            <v xml:space="preserve">  O.  3.            </v>
          </cell>
          <cell r="E2451" t="str">
            <v>CP2008</v>
          </cell>
          <cell r="F2451" t="str">
            <v>1.1.</v>
          </cell>
          <cell r="G2451" t="str">
            <v xml:space="preserve">Demolição da argamassa de proteção da impermeabilização existente  </v>
          </cell>
          <cell r="H2451" t="str">
            <v xml:space="preserve">m²    </v>
          </cell>
          <cell r="I2451">
            <v>311</v>
          </cell>
          <cell r="J2451">
            <v>12.18</v>
          </cell>
          <cell r="K2451">
            <v>11.45</v>
          </cell>
          <cell r="L2451">
            <v>3787.98</v>
          </cell>
        </row>
        <row r="2452">
          <cell r="D2452" t="str">
            <v xml:space="preserve">  O.  4.            </v>
          </cell>
          <cell r="E2452" t="str">
            <v>CP2179</v>
          </cell>
          <cell r="F2452" t="str">
            <v>1.2.</v>
          </cell>
          <cell r="G2452" t="str">
            <v xml:space="preserve">Remoção da impermeabilização existente  </v>
          </cell>
          <cell r="H2452" t="str">
            <v xml:space="preserve">m²    </v>
          </cell>
          <cell r="I2452">
            <v>6223</v>
          </cell>
          <cell r="J2452">
            <v>4</v>
          </cell>
          <cell r="K2452">
            <v>3.43</v>
          </cell>
          <cell r="L2452">
            <v>24892</v>
          </cell>
        </row>
        <row r="2453">
          <cell r="D2453" t="str">
            <v xml:space="preserve">  O.  5.            </v>
          </cell>
          <cell r="E2453" t="str">
            <v>CP4007</v>
          </cell>
          <cell r="F2453" t="str">
            <v>1.3.</v>
          </cell>
          <cell r="G2453" t="str">
            <v xml:space="preserve">Demolição da argamassa de regularização  </v>
          </cell>
          <cell r="H2453" t="str">
            <v xml:space="preserve">m²    </v>
          </cell>
          <cell r="I2453">
            <v>3112</v>
          </cell>
          <cell r="J2453">
            <v>12.03</v>
          </cell>
          <cell r="K2453">
            <v>11.45</v>
          </cell>
          <cell r="L2453">
            <v>37437.360000000001</v>
          </cell>
        </row>
        <row r="2454">
          <cell r="D2454" t="str">
            <v xml:space="preserve">  O.  6.            </v>
          </cell>
          <cell r="E2454" t="str">
            <v>CP1845</v>
          </cell>
          <cell r="F2454" t="str">
            <v>1.4.</v>
          </cell>
          <cell r="G2454" t="str">
            <v xml:space="preserve">Jateamento das superfícies internas dos tanques de filtragem e do canal de água  </v>
          </cell>
          <cell r="H2454" t="str">
            <v xml:space="preserve">m²    </v>
          </cell>
          <cell r="I2454">
            <v>6223</v>
          </cell>
          <cell r="J2454">
            <v>16.62</v>
          </cell>
          <cell r="K2454">
            <v>21.09</v>
          </cell>
          <cell r="L2454">
            <v>103426.26</v>
          </cell>
        </row>
        <row r="2455">
          <cell r="D2455" t="str">
            <v xml:space="preserve">  O.  7.            </v>
          </cell>
          <cell r="E2455" t="str">
            <v>CP1855</v>
          </cell>
          <cell r="F2455" t="str">
            <v>1.5.</v>
          </cell>
          <cell r="G2455" t="str">
            <v xml:space="preserve">Remoção e transporte do entulho  </v>
          </cell>
          <cell r="H2455" t="str">
            <v xml:space="preserve">m³    </v>
          </cell>
          <cell r="I2455">
            <v>218</v>
          </cell>
          <cell r="J2455">
            <v>24.04</v>
          </cell>
          <cell r="K2455">
            <v>34.340000000000003</v>
          </cell>
          <cell r="L2455">
            <v>5240.72</v>
          </cell>
        </row>
        <row r="2456">
          <cell r="D2456" t="str">
            <v xml:space="preserve">  O.  8.            </v>
          </cell>
          <cell r="E2456" t="str">
            <v xml:space="preserve">      </v>
          </cell>
          <cell r="F2456" t="str">
            <v>2.</v>
          </cell>
          <cell r="G2456" t="str">
            <v xml:space="preserve">Recuperação da Estrutura  </v>
          </cell>
          <cell r="H2456" t="str">
            <v xml:space="preserve">      </v>
          </cell>
          <cell r="I2456">
            <v>0</v>
          </cell>
          <cell r="J2456">
            <v>0</v>
          </cell>
          <cell r="K2456">
            <v>0</v>
          </cell>
          <cell r="L2456">
            <v>0</v>
          </cell>
        </row>
        <row r="2457">
          <cell r="D2457" t="str">
            <v xml:space="preserve">  O.  9.            </v>
          </cell>
          <cell r="E2457" t="str">
            <v>CP1731</v>
          </cell>
          <cell r="F2457" t="str">
            <v>2.1.</v>
          </cell>
          <cell r="G2457" t="str">
            <v xml:space="preserve">Colmatação e injeção de epóxi  </v>
          </cell>
          <cell r="H2457" t="str">
            <v xml:space="preserve">m     </v>
          </cell>
          <cell r="I2457">
            <v>256</v>
          </cell>
          <cell r="J2457">
            <v>130.37</v>
          </cell>
          <cell r="K2457">
            <v>114.45</v>
          </cell>
          <cell r="L2457">
            <v>33374.720000000001</v>
          </cell>
        </row>
        <row r="2458">
          <cell r="D2458" t="str">
            <v xml:space="preserve">  O. 10.            </v>
          </cell>
          <cell r="E2458" t="str">
            <v>CP1758</v>
          </cell>
          <cell r="F2458" t="str">
            <v>2.2.</v>
          </cell>
          <cell r="G2458" t="str">
            <v xml:space="preserve">Proteção de armadura com material inibidor de corrosão  </v>
          </cell>
          <cell r="H2458" t="str">
            <v xml:space="preserve">m     </v>
          </cell>
          <cell r="I2458">
            <v>128</v>
          </cell>
          <cell r="J2458">
            <v>86.07</v>
          </cell>
          <cell r="K2458">
            <v>72.540000000000006</v>
          </cell>
          <cell r="L2458">
            <v>11016.96</v>
          </cell>
        </row>
        <row r="2459">
          <cell r="D2459" t="str">
            <v xml:space="preserve">  O. 11.            </v>
          </cell>
          <cell r="E2459" t="str">
            <v>CP1409</v>
          </cell>
          <cell r="F2459" t="str">
            <v>2.3.</v>
          </cell>
          <cell r="G2459" t="str">
            <v xml:space="preserve">Obturação de falhas de concretagem  </v>
          </cell>
          <cell r="H2459" t="str">
            <v xml:space="preserve">un    </v>
          </cell>
          <cell r="I2459">
            <v>1</v>
          </cell>
          <cell r="J2459">
            <v>4238.28</v>
          </cell>
          <cell r="K2459">
            <v>3576.83</v>
          </cell>
          <cell r="L2459">
            <v>4238.28</v>
          </cell>
        </row>
        <row r="2460">
          <cell r="D2460" t="str">
            <v xml:space="preserve">  O. 12.            </v>
          </cell>
          <cell r="E2460" t="str">
            <v>CP2000</v>
          </cell>
          <cell r="F2460" t="str">
            <v>2.4.</v>
          </cell>
          <cell r="G2460" t="str">
            <v xml:space="preserve">Execução de abertura de sulcos em forma de V  </v>
          </cell>
          <cell r="H2460" t="str">
            <v xml:space="preserve">m     </v>
          </cell>
          <cell r="I2460">
            <v>256</v>
          </cell>
          <cell r="J2460">
            <v>15.12</v>
          </cell>
          <cell r="K2460">
            <v>12.88</v>
          </cell>
          <cell r="L2460">
            <v>3870.72</v>
          </cell>
        </row>
        <row r="2461">
          <cell r="D2461" t="str">
            <v xml:space="preserve">  O. 13.            </v>
          </cell>
          <cell r="E2461" t="str">
            <v>CP1961</v>
          </cell>
          <cell r="F2461" t="str">
            <v>2.5.</v>
          </cell>
          <cell r="G2461" t="str">
            <v xml:space="preserve">Preparo e preenchimento dos sulcos  </v>
          </cell>
          <cell r="H2461" t="str">
            <v xml:space="preserve">m     </v>
          </cell>
          <cell r="I2461">
            <v>256</v>
          </cell>
          <cell r="J2461">
            <v>17.149999999999999</v>
          </cell>
          <cell r="K2461">
            <v>17.170000000000002</v>
          </cell>
          <cell r="L2461">
            <v>4390.3999999999996</v>
          </cell>
        </row>
        <row r="2462">
          <cell r="D2462" t="str">
            <v xml:space="preserve">  O. 14.            </v>
          </cell>
          <cell r="E2462" t="str">
            <v>CP1924</v>
          </cell>
          <cell r="F2462" t="str">
            <v>2.6.</v>
          </cell>
          <cell r="G2462" t="str">
            <v xml:space="preserve">Estucagem das superfícies internas  </v>
          </cell>
          <cell r="H2462" t="str">
            <v xml:space="preserve">m²    </v>
          </cell>
          <cell r="I2462">
            <v>62</v>
          </cell>
          <cell r="J2462">
            <v>24.98</v>
          </cell>
          <cell r="K2462">
            <v>21.47</v>
          </cell>
          <cell r="L2462">
            <v>1548.76</v>
          </cell>
        </row>
        <row r="2463">
          <cell r="D2463" t="str">
            <v xml:space="preserve">  O. 15.            </v>
          </cell>
          <cell r="E2463" t="str">
            <v>CP1626</v>
          </cell>
          <cell r="F2463" t="str">
            <v>2.7.</v>
          </cell>
          <cell r="G2463" t="str">
            <v xml:space="preserve">Injeção de Poliuretano Hidroativado flexível Bicomponente  </v>
          </cell>
          <cell r="H2463" t="str">
            <v xml:space="preserve">l     </v>
          </cell>
          <cell r="I2463">
            <v>250</v>
          </cell>
          <cell r="J2463">
            <v>358.57</v>
          </cell>
          <cell r="K2463">
            <v>330.95</v>
          </cell>
          <cell r="L2463">
            <v>89642.5</v>
          </cell>
        </row>
        <row r="2464">
          <cell r="D2464" t="str">
            <v xml:space="preserve">  O. 16.            </v>
          </cell>
          <cell r="E2464" t="str">
            <v xml:space="preserve">      </v>
          </cell>
          <cell r="F2464" t="str">
            <v>3.</v>
          </cell>
          <cell r="G2464" t="str">
            <v xml:space="preserve">Impermeabilização  </v>
          </cell>
          <cell r="H2464" t="str">
            <v xml:space="preserve">      </v>
          </cell>
          <cell r="I2464">
            <v>0</v>
          </cell>
          <cell r="J2464">
            <v>0</v>
          </cell>
          <cell r="K2464">
            <v>0</v>
          </cell>
          <cell r="L2464">
            <v>0</v>
          </cell>
        </row>
        <row r="2465">
          <cell r="D2465" t="str">
            <v xml:space="preserve">  O. 17.            </v>
          </cell>
          <cell r="E2465" t="str">
            <v>CP0003</v>
          </cell>
          <cell r="F2465" t="str">
            <v>3.1.</v>
          </cell>
          <cell r="G2465" t="str">
            <v xml:space="preserve">Impermeabilização de paredes e fundos dos filtros com argamassa de cimento, areia e latex estireno-butadieno, e aplicação de Impermaster N  </v>
          </cell>
          <cell r="H2465" t="str">
            <v xml:space="preserve">m²    </v>
          </cell>
          <cell r="I2465">
            <v>5138</v>
          </cell>
          <cell r="J2465">
            <v>68.260000000000005</v>
          </cell>
          <cell r="K2465">
            <v>57.3</v>
          </cell>
          <cell r="L2465">
            <v>350719.88</v>
          </cell>
        </row>
        <row r="2466">
          <cell r="D2466" t="str">
            <v xml:space="preserve">  O. 18.            </v>
          </cell>
          <cell r="E2466" t="str">
            <v>CP0003</v>
          </cell>
          <cell r="F2466" t="str">
            <v>3.2.</v>
          </cell>
          <cell r="G2466" t="str">
            <v xml:space="preserve">Impermeabilização dos canais de água coagulada com argamassa de cimento, areia e latex estireno-butadieno, e aplicação de Impermaster N  </v>
          </cell>
          <cell r="H2466" t="str">
            <v xml:space="preserve">m²    </v>
          </cell>
          <cell r="I2466">
            <v>200</v>
          </cell>
          <cell r="J2466">
            <v>68.260000000000005</v>
          </cell>
          <cell r="K2466">
            <v>57.3</v>
          </cell>
          <cell r="L2466">
            <v>13652</v>
          </cell>
        </row>
        <row r="2467">
          <cell r="D2467" t="str">
            <v xml:space="preserve">  O. 19.            </v>
          </cell>
          <cell r="E2467" t="str">
            <v>CP0003</v>
          </cell>
          <cell r="F2467" t="str">
            <v>3.3.</v>
          </cell>
          <cell r="G2467" t="str">
            <v xml:space="preserve">Impermeabilização dos canais de água filtrada com argamassa de cimento, areia e latex estireno-butadieno, e aplicação de Impermaster N  </v>
          </cell>
          <cell r="H2467" t="str">
            <v xml:space="preserve">m²    </v>
          </cell>
          <cell r="I2467">
            <v>325</v>
          </cell>
          <cell r="J2467">
            <v>68.260000000000005</v>
          </cell>
          <cell r="K2467">
            <v>57.3</v>
          </cell>
          <cell r="L2467">
            <v>22184.5</v>
          </cell>
        </row>
        <row r="2468">
          <cell r="D2468" t="str">
            <v xml:space="preserve">  O. 20.            </v>
          </cell>
          <cell r="E2468" t="str">
            <v>CP0003</v>
          </cell>
          <cell r="F2468" t="str">
            <v>3.4.</v>
          </cell>
          <cell r="G2468" t="str">
            <v xml:space="preserve">Impermeabilização dos canais de água de lavagem dos filtros com argamassa de cimento, areia e latex estireno-butadieno, e aplicação de Impermaster N  </v>
          </cell>
          <cell r="H2468" t="str">
            <v xml:space="preserve">m²    </v>
          </cell>
          <cell r="I2468">
            <v>560</v>
          </cell>
          <cell r="J2468">
            <v>68.260000000000005</v>
          </cell>
          <cell r="K2468">
            <v>57.3</v>
          </cell>
          <cell r="L2468">
            <v>38225.599999999999</v>
          </cell>
        </row>
        <row r="2469">
          <cell r="D2469" t="str">
            <v xml:space="preserve">  O. 21.            </v>
          </cell>
          <cell r="E2469" t="str">
            <v>CP1735</v>
          </cell>
          <cell r="F2469" t="str">
            <v>3.5.</v>
          </cell>
          <cell r="G2469" t="str">
            <v xml:space="preserve">Execução de junta JEENE JJ5020  </v>
          </cell>
          <cell r="H2469" t="str">
            <v xml:space="preserve">m     </v>
          </cell>
          <cell r="I2469">
            <v>50</v>
          </cell>
          <cell r="J2469">
            <v>133.11000000000001</v>
          </cell>
          <cell r="K2469">
            <v>111.59</v>
          </cell>
          <cell r="L2469">
            <v>6655.5</v>
          </cell>
        </row>
        <row r="2470">
          <cell r="D2470" t="str">
            <v xml:space="preserve">  O. 22.            </v>
          </cell>
          <cell r="E2470" t="str">
            <v>CP0003</v>
          </cell>
          <cell r="F2470" t="str">
            <v>3.6.</v>
          </cell>
          <cell r="G2470" t="str">
            <v xml:space="preserve">Impermeabilização dos floculadores e flotadores com argamassa de cimento, areia e latex estireno-butadieno, e aplicação de Impermaster N  </v>
          </cell>
          <cell r="H2470" t="str">
            <v xml:space="preserve">m²    </v>
          </cell>
          <cell r="I2470">
            <v>2700</v>
          </cell>
          <cell r="J2470">
            <v>68.260000000000005</v>
          </cell>
          <cell r="K2470">
            <v>57.3</v>
          </cell>
          <cell r="L2470">
            <v>184302</v>
          </cell>
        </row>
        <row r="2471">
          <cell r="D2471" t="str">
            <v xml:space="preserve">  O. 23.            </v>
          </cell>
          <cell r="E2471" t="str">
            <v xml:space="preserve">      </v>
          </cell>
          <cell r="F2471" t="str">
            <v>4.</v>
          </cell>
          <cell r="G2471" t="str">
            <v xml:space="preserve">Proteção  </v>
          </cell>
          <cell r="H2471" t="str">
            <v xml:space="preserve">      </v>
          </cell>
          <cell r="I2471">
            <v>0</v>
          </cell>
          <cell r="J2471">
            <v>0</v>
          </cell>
          <cell r="K2471">
            <v>0</v>
          </cell>
          <cell r="L2471">
            <v>0</v>
          </cell>
        </row>
        <row r="2472">
          <cell r="D2472" t="str">
            <v xml:space="preserve">  O. 24.            </v>
          </cell>
          <cell r="E2472" t="str">
            <v>CP1969</v>
          </cell>
          <cell r="F2472" t="str">
            <v>4.1.</v>
          </cell>
          <cell r="G2472" t="str">
            <v xml:space="preserve">Proteção mecânica dos filtros, estruturada com tela galvanizada  </v>
          </cell>
          <cell r="H2472" t="str">
            <v xml:space="preserve">m²    </v>
          </cell>
          <cell r="I2472">
            <v>5138</v>
          </cell>
          <cell r="J2472">
            <v>17.32</v>
          </cell>
          <cell r="K2472">
            <v>15.74</v>
          </cell>
          <cell r="L2472">
            <v>88990.16</v>
          </cell>
        </row>
        <row r="2473">
          <cell r="D2473" t="str">
            <v xml:space="preserve">  O. 25.            </v>
          </cell>
          <cell r="E2473" t="str">
            <v xml:space="preserve">      </v>
          </cell>
          <cell r="F2473" t="str">
            <v>5.</v>
          </cell>
          <cell r="G2473" t="str">
            <v xml:space="preserve">Substituição de Junta de Concretagem  </v>
          </cell>
          <cell r="H2473" t="str">
            <v xml:space="preserve">      </v>
          </cell>
          <cell r="I2473">
            <v>0</v>
          </cell>
          <cell r="J2473">
            <v>0</v>
          </cell>
          <cell r="K2473">
            <v>0</v>
          </cell>
          <cell r="L2473">
            <v>0</v>
          </cell>
        </row>
        <row r="2474">
          <cell r="D2474" t="str">
            <v xml:space="preserve">  O. 26.            </v>
          </cell>
          <cell r="E2474" t="str">
            <v>CP1687</v>
          </cell>
          <cell r="F2474" t="str">
            <v>5.1.</v>
          </cell>
          <cell r="G2474" t="str">
            <v xml:space="preserve">Substituição de junta de concretagem, tipo fungenband  </v>
          </cell>
          <cell r="H2474" t="str">
            <v xml:space="preserve">m     </v>
          </cell>
          <cell r="I2474">
            <v>22</v>
          </cell>
          <cell r="J2474">
            <v>124.44</v>
          </cell>
          <cell r="K2474">
            <v>151.66</v>
          </cell>
          <cell r="L2474">
            <v>2737.68</v>
          </cell>
        </row>
        <row r="2475">
          <cell r="D2475" t="str">
            <v xml:space="preserve">  P.  1.            </v>
          </cell>
          <cell r="E2475" t="str">
            <v xml:space="preserve">      </v>
          </cell>
          <cell r="F2475" t="str">
            <v>16.1.</v>
          </cell>
          <cell r="G2475" t="str">
            <v xml:space="preserve">Prédio de Desidratação de Lodo  </v>
          </cell>
          <cell r="H2475" t="str">
            <v xml:space="preserve">      </v>
          </cell>
          <cell r="I2475">
            <v>0</v>
          </cell>
          <cell r="J2475">
            <v>0</v>
          </cell>
          <cell r="K2475">
            <v>0</v>
          </cell>
          <cell r="L2475">
            <v>0</v>
          </cell>
        </row>
        <row r="2476">
          <cell r="D2476" t="str">
            <v xml:space="preserve">  P.  2.            </v>
          </cell>
          <cell r="E2476" t="str">
            <v xml:space="preserve">      </v>
          </cell>
          <cell r="F2476" t="str">
            <v>16.1.1.</v>
          </cell>
          <cell r="G2476" t="str">
            <v xml:space="preserve">Fornecimento e instalação  </v>
          </cell>
          <cell r="H2476" t="str">
            <v xml:space="preserve">      </v>
          </cell>
          <cell r="I2476">
            <v>0</v>
          </cell>
          <cell r="J2476">
            <v>0</v>
          </cell>
          <cell r="K2476">
            <v>0</v>
          </cell>
          <cell r="L2476">
            <v>0</v>
          </cell>
        </row>
        <row r="2477">
          <cell r="D2477" t="str">
            <v xml:space="preserve">  P.  3.            </v>
          </cell>
          <cell r="E2477" t="str">
            <v xml:space="preserve">      </v>
          </cell>
          <cell r="F2477" t="str">
            <v>16.1.2.</v>
          </cell>
          <cell r="G2477" t="str">
            <v xml:space="preserve">Eletrodutos e acessórios  </v>
          </cell>
          <cell r="H2477" t="str">
            <v xml:space="preserve">      </v>
          </cell>
          <cell r="I2477">
            <v>0</v>
          </cell>
          <cell r="J2477">
            <v>0</v>
          </cell>
          <cell r="K2477">
            <v>0</v>
          </cell>
          <cell r="L2477">
            <v>0</v>
          </cell>
        </row>
        <row r="2478">
          <cell r="D2478" t="str">
            <v xml:space="preserve">  P.  4.            </v>
          </cell>
          <cell r="E2478" t="str">
            <v xml:space="preserve">      </v>
          </cell>
          <cell r="F2478" t="str">
            <v>16.1.3.</v>
          </cell>
          <cell r="G2478" t="str">
            <v xml:space="preserve">Eletroduto PVC rígido rosca bsp ABNT 744 classe b NBR 6150 antichama com uma luva  </v>
          </cell>
          <cell r="H2478" t="str">
            <v xml:space="preserve">      </v>
          </cell>
          <cell r="I2478">
            <v>0</v>
          </cell>
          <cell r="J2478">
            <v>0</v>
          </cell>
          <cell r="K2478">
            <v>0</v>
          </cell>
          <cell r="L2478">
            <v>0</v>
          </cell>
        </row>
        <row r="2479">
          <cell r="D2479" t="str">
            <v xml:space="preserve">  P.  5.            </v>
          </cell>
          <cell r="E2479" t="str">
            <v>CP1894</v>
          </cell>
          <cell r="F2479" t="str">
            <v>16.1.4.</v>
          </cell>
          <cell r="G2479" t="str">
            <v xml:space="preserve">Eletroduto PVC rígido rosca bsp ABNT 744 classe b NBR 6150 antichama com uma luva Dn (1) 25 mm  </v>
          </cell>
          <cell r="H2479" t="str">
            <v xml:space="preserve">pc    </v>
          </cell>
          <cell r="I2479">
            <v>17</v>
          </cell>
          <cell r="J2479">
            <v>26.76</v>
          </cell>
          <cell r="K2479">
            <v>27.96</v>
          </cell>
          <cell r="L2479">
            <v>454.92</v>
          </cell>
        </row>
        <row r="2480">
          <cell r="D2480" t="str">
            <v xml:space="preserve">  P.  6.            </v>
          </cell>
          <cell r="E2480" t="str">
            <v>CP1703</v>
          </cell>
          <cell r="F2480" t="str">
            <v>16.1.5.</v>
          </cell>
          <cell r="G2480" t="str">
            <v xml:space="preserve">Eletroduto PVC rígido rosca bsp ABNT 744 classe b NBR 6150 antichama com uma luva Dn (2) 50 mm  </v>
          </cell>
          <cell r="H2480" t="str">
            <v xml:space="preserve">pc    </v>
          </cell>
          <cell r="I2480">
            <v>28</v>
          </cell>
          <cell r="J2480">
            <v>40.590000000000003</v>
          </cell>
          <cell r="K2480">
            <v>57.98</v>
          </cell>
          <cell r="L2480">
            <v>1136.52</v>
          </cell>
        </row>
        <row r="2481">
          <cell r="D2481" t="str">
            <v xml:space="preserve">  P.  7.            </v>
          </cell>
          <cell r="E2481" t="str">
            <v>CP1682</v>
          </cell>
          <cell r="F2481" t="str">
            <v>16.1.6.</v>
          </cell>
          <cell r="G2481" t="str">
            <v xml:space="preserve">Eletroduto PVC rígido rosca bsp ABNT 744 classe b NBR 6150 antichama com uma luva Dn (4) 100 mm  </v>
          </cell>
          <cell r="H2481" t="str">
            <v xml:space="preserve">pc    </v>
          </cell>
          <cell r="I2481">
            <v>8</v>
          </cell>
          <cell r="J2481">
            <v>156.63</v>
          </cell>
          <cell r="K2481">
            <v>223.76</v>
          </cell>
          <cell r="L2481">
            <v>1253.04</v>
          </cell>
        </row>
        <row r="2482">
          <cell r="D2482" t="str">
            <v xml:space="preserve">  P.  8.            </v>
          </cell>
          <cell r="E2482" t="str">
            <v xml:space="preserve">      </v>
          </cell>
          <cell r="F2482" t="str">
            <v>16.1.7.</v>
          </cell>
          <cell r="G2482" t="str">
            <v xml:space="preserve">Eletroduto aço carbono com costura ABNT NBR 5624 pesado classe i, zincado, com uma luva, parede de espessura 3,75 mm, comp. de 3000 mm  </v>
          </cell>
          <cell r="H2482" t="str">
            <v xml:space="preserve">      </v>
          </cell>
          <cell r="I2482">
            <v>0</v>
          </cell>
          <cell r="J2482">
            <v>0</v>
          </cell>
          <cell r="K2482">
            <v>0</v>
          </cell>
          <cell r="L2482">
            <v>0</v>
          </cell>
        </row>
        <row r="2483">
          <cell r="D2483" t="str">
            <v xml:space="preserve">  P.  9.            </v>
          </cell>
          <cell r="E2483" t="str">
            <v>CP1970</v>
          </cell>
          <cell r="F2483" t="str">
            <v>16.1.8.</v>
          </cell>
          <cell r="G2483" t="str">
            <v xml:space="preserve">Eletroduto aço carbono com costura ABNT NBR 5624 pesado classe i, zincado, com uma luva, parede de espessura 3,75 mm, comp. de 3000 mm Dn (3/4) 20 mm  </v>
          </cell>
          <cell r="H2483" t="str">
            <v xml:space="preserve">m     </v>
          </cell>
          <cell r="I2483">
            <v>65</v>
          </cell>
          <cell r="J2483">
            <v>11.9</v>
          </cell>
          <cell r="K2483">
            <v>9.9600000000000009</v>
          </cell>
          <cell r="L2483">
            <v>773.5</v>
          </cell>
        </row>
        <row r="2484">
          <cell r="D2484" t="str">
            <v xml:space="preserve">  P. 10.            </v>
          </cell>
          <cell r="E2484" t="str">
            <v>CP1940</v>
          </cell>
          <cell r="F2484" t="str">
            <v>16.1.9.</v>
          </cell>
          <cell r="G2484" t="str">
            <v xml:space="preserve">Eletroduto aço carbono com costura ABNT NBR 5624 pesado classe i, zincado, com uma luva, parede de espessura 3,75 mm, comp. de 3000 mm Dn (1) 25 mm  </v>
          </cell>
          <cell r="H2484" t="str">
            <v xml:space="preserve">m     </v>
          </cell>
          <cell r="I2484">
            <v>55</v>
          </cell>
          <cell r="J2484">
            <v>15.57</v>
          </cell>
          <cell r="K2484">
            <v>13.06</v>
          </cell>
          <cell r="L2484">
            <v>856.35</v>
          </cell>
        </row>
        <row r="2485">
          <cell r="D2485" t="str">
            <v xml:space="preserve">  P. 11.            </v>
          </cell>
          <cell r="E2485" t="str">
            <v>CP1818</v>
          </cell>
          <cell r="F2485" t="str">
            <v>16.1.10.</v>
          </cell>
          <cell r="G2485" t="str">
            <v xml:space="preserve">Eletroduto aço carbono com costura ABNT NBR 5624 pesado classe i, zincado, com uma luva, parede de espessura 3,75 mm, comp. de 3000 mm Dn (2) 50 mm  </v>
          </cell>
          <cell r="H2485" t="str">
            <v xml:space="preserve">m     </v>
          </cell>
          <cell r="I2485">
            <v>9</v>
          </cell>
          <cell r="J2485">
            <v>34.049999999999997</v>
          </cell>
          <cell r="K2485">
            <v>28.54</v>
          </cell>
          <cell r="L2485">
            <v>306.45</v>
          </cell>
        </row>
        <row r="2486">
          <cell r="D2486" t="str">
            <v xml:space="preserve">  P. 12.            </v>
          </cell>
          <cell r="E2486" t="str">
            <v xml:space="preserve">      </v>
          </cell>
          <cell r="F2486" t="str">
            <v>16.1.11.</v>
          </cell>
          <cell r="G2486" t="str">
            <v xml:space="preserve">Bucha e arruela ferro galvanizado  </v>
          </cell>
          <cell r="H2486" t="str">
            <v xml:space="preserve">      </v>
          </cell>
          <cell r="I2486">
            <v>0</v>
          </cell>
          <cell r="J2486">
            <v>0</v>
          </cell>
          <cell r="K2486">
            <v>0</v>
          </cell>
          <cell r="L2486">
            <v>0</v>
          </cell>
        </row>
        <row r="2487">
          <cell r="D2487" t="str">
            <v xml:space="preserve">  P. 13.            </v>
          </cell>
          <cell r="E2487" t="str">
            <v>CP2311</v>
          </cell>
          <cell r="F2487" t="str">
            <v>16.1.12.</v>
          </cell>
          <cell r="G2487" t="str">
            <v xml:space="preserve">Bucha e arruela ferro galvanizado Dn (3/4) 20 mm  </v>
          </cell>
          <cell r="H2487" t="str">
            <v xml:space="preserve">pc    </v>
          </cell>
          <cell r="I2487">
            <v>120</v>
          </cell>
          <cell r="J2487">
            <v>1.03</v>
          </cell>
          <cell r="K2487">
            <v>1.32</v>
          </cell>
          <cell r="L2487">
            <v>123.6</v>
          </cell>
        </row>
        <row r="2488">
          <cell r="D2488" t="str">
            <v xml:space="preserve">  P. 14.            </v>
          </cell>
          <cell r="E2488" t="str">
            <v>CP2293</v>
          </cell>
          <cell r="F2488" t="str">
            <v>16.1.13.</v>
          </cell>
          <cell r="G2488" t="str">
            <v xml:space="preserve">Bucha e arruela ferro galvanizado Dn (1) 25 mm  </v>
          </cell>
          <cell r="H2488" t="str">
            <v xml:space="preserve">pc    </v>
          </cell>
          <cell r="I2488">
            <v>36</v>
          </cell>
          <cell r="J2488">
            <v>1.35</v>
          </cell>
          <cell r="K2488">
            <v>1.64</v>
          </cell>
          <cell r="L2488">
            <v>48.6</v>
          </cell>
        </row>
        <row r="2489">
          <cell r="D2489" t="str">
            <v xml:space="preserve">  P. 15.            </v>
          </cell>
          <cell r="E2489" t="str">
            <v xml:space="preserve">      </v>
          </cell>
          <cell r="F2489" t="str">
            <v>16.1.14.</v>
          </cell>
          <cell r="G2489" t="str">
            <v xml:space="preserve">Braçadeira tipo d  </v>
          </cell>
          <cell r="H2489" t="str">
            <v xml:space="preserve">      </v>
          </cell>
          <cell r="I2489">
            <v>0</v>
          </cell>
          <cell r="J2489">
            <v>0</v>
          </cell>
          <cell r="K2489">
            <v>0</v>
          </cell>
          <cell r="L2489">
            <v>0</v>
          </cell>
        </row>
        <row r="2490">
          <cell r="D2490" t="str">
            <v xml:space="preserve">  P. 16.            </v>
          </cell>
          <cell r="E2490" t="str">
            <v>CP2297</v>
          </cell>
          <cell r="F2490" t="str">
            <v>16.1.15.</v>
          </cell>
          <cell r="G2490" t="str">
            <v xml:space="preserve">Braçadeira tipo d Dn (3/4) 20 mm  </v>
          </cell>
          <cell r="H2490" t="str">
            <v xml:space="preserve">pc    </v>
          </cell>
          <cell r="I2490">
            <v>33</v>
          </cell>
          <cell r="J2490">
            <v>5.17</v>
          </cell>
          <cell r="K2490">
            <v>7.38</v>
          </cell>
          <cell r="L2490">
            <v>170.61</v>
          </cell>
        </row>
        <row r="2491">
          <cell r="D2491" t="str">
            <v xml:space="preserve">  P. 17.            </v>
          </cell>
          <cell r="E2491" t="str">
            <v>CP2270</v>
          </cell>
          <cell r="F2491" t="str">
            <v>16.1.16.</v>
          </cell>
          <cell r="G2491" t="str">
            <v xml:space="preserve">Braçadeira tipo d Dn (1) 25 mm  </v>
          </cell>
          <cell r="H2491" t="str">
            <v xml:space="preserve">pc    </v>
          </cell>
          <cell r="I2491">
            <v>24</v>
          </cell>
          <cell r="J2491">
            <v>7.14</v>
          </cell>
          <cell r="K2491">
            <v>7.13</v>
          </cell>
          <cell r="L2491">
            <v>171.36</v>
          </cell>
        </row>
        <row r="2492">
          <cell r="D2492" t="str">
            <v xml:space="preserve">  P. 18.            </v>
          </cell>
          <cell r="E2492" t="str">
            <v xml:space="preserve">      </v>
          </cell>
          <cell r="F2492" t="str">
            <v>16.1.17.</v>
          </cell>
          <cell r="G2492" t="str">
            <v xml:space="preserve">Cabos e acessórios  </v>
          </cell>
          <cell r="H2492" t="str">
            <v xml:space="preserve">      </v>
          </cell>
          <cell r="I2492">
            <v>0</v>
          </cell>
          <cell r="J2492">
            <v>0</v>
          </cell>
          <cell r="K2492">
            <v>0</v>
          </cell>
          <cell r="L2492">
            <v>0</v>
          </cell>
        </row>
        <row r="2493">
          <cell r="D2493" t="str">
            <v xml:space="preserve">  P. 19.            </v>
          </cell>
          <cell r="E2493" t="str">
            <v xml:space="preserve">      </v>
          </cell>
          <cell r="F2493" t="str">
            <v>16.1.18.</v>
          </cell>
          <cell r="G2493" t="str">
            <v xml:space="preserve">Cabo cobre, tempera mole, PVC, 70oc, 0,45/0.7kV NBR-6880, NBR-6148  </v>
          </cell>
          <cell r="H2493" t="str">
            <v xml:space="preserve">      </v>
          </cell>
          <cell r="I2493">
            <v>0</v>
          </cell>
          <cell r="J2493">
            <v>0</v>
          </cell>
          <cell r="K2493">
            <v>0</v>
          </cell>
          <cell r="L2493">
            <v>0</v>
          </cell>
        </row>
        <row r="2494">
          <cell r="D2494" t="str">
            <v xml:space="preserve">  P. 20.            </v>
          </cell>
          <cell r="E2494" t="str">
            <v>CP2299</v>
          </cell>
          <cell r="F2494" t="str">
            <v>16.1.19.</v>
          </cell>
          <cell r="G2494" t="str">
            <v xml:space="preserve">Cabo cobre, tempera mole, PVC, 70oc, 0,45/0.7kV NBR-6880, NBR-6148 #2,5mm  </v>
          </cell>
          <cell r="H2494" t="str">
            <v xml:space="preserve">m     </v>
          </cell>
          <cell r="I2494">
            <v>1680</v>
          </cell>
          <cell r="J2494">
            <v>2.79</v>
          </cell>
          <cell r="K2494">
            <v>2.37</v>
          </cell>
          <cell r="L2494">
            <v>4687.2</v>
          </cell>
        </row>
        <row r="2495">
          <cell r="D2495" t="str">
            <v xml:space="preserve">  P. 21.            </v>
          </cell>
          <cell r="E2495" t="str">
            <v>CP2271</v>
          </cell>
          <cell r="F2495" t="str">
            <v>16.1.20.</v>
          </cell>
          <cell r="G2495" t="str">
            <v xml:space="preserve">Cabo cobre, tempera mole, PVC, 70oc, 0,45/0.7kV NBR-6880, NBR-6148 #6,0mm  </v>
          </cell>
          <cell r="H2495" t="str">
            <v xml:space="preserve">m     </v>
          </cell>
          <cell r="I2495">
            <v>180</v>
          </cell>
          <cell r="J2495">
            <v>3.17</v>
          </cell>
          <cell r="K2495">
            <v>2.92</v>
          </cell>
          <cell r="L2495">
            <v>570.6</v>
          </cell>
        </row>
        <row r="2496">
          <cell r="D2496" t="str">
            <v xml:space="preserve">  P. 22.            </v>
          </cell>
          <cell r="E2496" t="str">
            <v xml:space="preserve">      </v>
          </cell>
          <cell r="F2496" t="str">
            <v>16.1.21.</v>
          </cell>
          <cell r="G2496" t="str">
            <v xml:space="preserve">Cabo cobre, tempera mole, PVC, 70oc, 0,6/1kV NBR-7288, NBR-6245, NBR-6812  </v>
          </cell>
          <cell r="H2496" t="str">
            <v xml:space="preserve">      </v>
          </cell>
          <cell r="I2496">
            <v>0</v>
          </cell>
          <cell r="J2496">
            <v>0</v>
          </cell>
          <cell r="K2496">
            <v>0</v>
          </cell>
          <cell r="L2496">
            <v>0</v>
          </cell>
        </row>
        <row r="2497">
          <cell r="D2497" t="str">
            <v xml:space="preserve">  P. 23.            </v>
          </cell>
          <cell r="E2497" t="str">
            <v>CP1962</v>
          </cell>
          <cell r="F2497" t="str">
            <v>16.1.22.</v>
          </cell>
          <cell r="G2497" t="str">
            <v xml:space="preserve">Cabo cobre, tempera mole, PVC, 70oc, 0,6/1kV NBR-7288, NBR-6245, NBR-6812 #70mm  </v>
          </cell>
          <cell r="H2497" t="str">
            <v xml:space="preserve">m     </v>
          </cell>
          <cell r="I2497">
            <v>20</v>
          </cell>
          <cell r="J2497">
            <v>37.340000000000003</v>
          </cell>
          <cell r="K2497">
            <v>35.07</v>
          </cell>
          <cell r="L2497">
            <v>746.8</v>
          </cell>
        </row>
        <row r="2498">
          <cell r="D2498" t="str">
            <v xml:space="preserve">  P. 24.            </v>
          </cell>
          <cell r="E2498" t="str">
            <v>CP1831</v>
          </cell>
          <cell r="F2498" t="str">
            <v>16.1.23.</v>
          </cell>
          <cell r="G2498" t="str">
            <v xml:space="preserve">Cabo cobre, tempera mole, PVC, 70oc, 0,6/1kV NBR-7288, NBR-6245, NBR-6812 #120mm  </v>
          </cell>
          <cell r="H2498" t="str">
            <v xml:space="preserve">m     </v>
          </cell>
          <cell r="I2498">
            <v>60</v>
          </cell>
          <cell r="J2498">
            <v>77.489999999999995</v>
          </cell>
          <cell r="K2498">
            <v>66.81</v>
          </cell>
          <cell r="L2498">
            <v>4649.3999999999996</v>
          </cell>
        </row>
        <row r="2499">
          <cell r="D2499" t="str">
            <v xml:space="preserve">  P. 25.            </v>
          </cell>
          <cell r="E2499" t="str">
            <v xml:space="preserve">      </v>
          </cell>
          <cell r="F2499" t="str">
            <v>16.1.24.</v>
          </cell>
          <cell r="G2499" t="str">
            <v xml:space="preserve">Cabo cobre, tempera mole, EPR, 90oc, 0,6/1kV Pirelli Afumex ou equivalente  </v>
          </cell>
          <cell r="H2499" t="str">
            <v xml:space="preserve">      </v>
          </cell>
          <cell r="I2499">
            <v>0</v>
          </cell>
          <cell r="J2499">
            <v>0</v>
          </cell>
          <cell r="K2499">
            <v>0</v>
          </cell>
          <cell r="L2499">
            <v>0</v>
          </cell>
        </row>
        <row r="2500">
          <cell r="D2500" t="str">
            <v xml:space="preserve">  P. 26.            </v>
          </cell>
          <cell r="E2500" t="str">
            <v>CP5010</v>
          </cell>
          <cell r="F2500" t="str">
            <v>16.1.25.</v>
          </cell>
          <cell r="G2500" t="str">
            <v xml:space="preserve">Cabo cobre, tempera mole, EPR, 90oc, 0,6/1kV Pirelli Afumex ou equivalente 1x2(1,5mm)  </v>
          </cell>
          <cell r="H2500" t="str">
            <v xml:space="preserve">m     </v>
          </cell>
          <cell r="I2500">
            <v>595</v>
          </cell>
          <cell r="J2500">
            <v>3.51</v>
          </cell>
          <cell r="K2500">
            <v>3.67</v>
          </cell>
          <cell r="L2500">
            <v>2088.4499999999998</v>
          </cell>
        </row>
        <row r="2501">
          <cell r="D2501" t="str">
            <v xml:space="preserve">  P. 27.            </v>
          </cell>
          <cell r="E2501" t="str">
            <v>CP5034</v>
          </cell>
          <cell r="F2501" t="str">
            <v>16.1.26.</v>
          </cell>
          <cell r="G2501" t="str">
            <v xml:space="preserve">Cabo cobre, tempera mole, EPR, 90oc, 0,6/1kV Pirelli Afumex ou equivalente 1x4 (4,0mm)  </v>
          </cell>
          <cell r="H2501" t="str">
            <v xml:space="preserve">m     </v>
          </cell>
          <cell r="I2501">
            <v>380</v>
          </cell>
          <cell r="J2501">
            <v>10.82</v>
          </cell>
          <cell r="K2501">
            <v>9.0299999999999994</v>
          </cell>
          <cell r="L2501">
            <v>4111.6000000000004</v>
          </cell>
        </row>
        <row r="2502">
          <cell r="D2502" t="str">
            <v xml:space="preserve">  P. 28.            </v>
          </cell>
          <cell r="E2502" t="str">
            <v>CP5032</v>
          </cell>
          <cell r="F2502" t="str">
            <v>16.1.27.</v>
          </cell>
          <cell r="G2502" t="str">
            <v xml:space="preserve">Cabo cobre, tempera mole, EPR, 90oc, 0,6/1kV Pirelli Afumex ou equivalente 1x4(2,5mm)  </v>
          </cell>
          <cell r="H2502" t="str">
            <v xml:space="preserve">m     </v>
          </cell>
          <cell r="I2502">
            <v>20</v>
          </cell>
          <cell r="J2502">
            <v>7.28</v>
          </cell>
          <cell r="K2502">
            <v>6.09</v>
          </cell>
          <cell r="L2502">
            <v>145.6</v>
          </cell>
        </row>
        <row r="2503">
          <cell r="D2503" t="str">
            <v xml:space="preserve">  P. 29.            </v>
          </cell>
          <cell r="E2503" t="str">
            <v>CP5013</v>
          </cell>
          <cell r="F2503" t="str">
            <v>16.1.28.</v>
          </cell>
          <cell r="G2503" t="str">
            <v xml:space="preserve">Cabo cobre, tempera mole, EPR, 90oc, 0,6/1kV Pirelli Afumex ou equivalente Coaxial  </v>
          </cell>
          <cell r="H2503" t="str">
            <v xml:space="preserve">m     </v>
          </cell>
          <cell r="I2503">
            <v>240</v>
          </cell>
          <cell r="J2503">
            <v>4.28</v>
          </cell>
          <cell r="K2503">
            <v>3.59</v>
          </cell>
          <cell r="L2503">
            <v>1027.2</v>
          </cell>
        </row>
        <row r="2504">
          <cell r="D2504" t="str">
            <v xml:space="preserve">  P. 30.            </v>
          </cell>
          <cell r="E2504" t="str">
            <v>CP5026</v>
          </cell>
          <cell r="F2504" t="str">
            <v>16.1.29.</v>
          </cell>
          <cell r="G2504" t="str">
            <v xml:space="preserve">Cabo cobre, tempera mole, EPR, 90oc, 0,6/1kV Pirelli Afumex ou equivalente 1x3(1,5mm) Blindado  </v>
          </cell>
          <cell r="H2504" t="str">
            <v xml:space="preserve">m     </v>
          </cell>
          <cell r="I2504">
            <v>195</v>
          </cell>
          <cell r="J2504">
            <v>10.62</v>
          </cell>
          <cell r="K2504">
            <v>8.91</v>
          </cell>
          <cell r="L2504">
            <v>2070.9</v>
          </cell>
        </row>
        <row r="2505">
          <cell r="D2505" t="str">
            <v xml:space="preserve">  P. 31.            </v>
          </cell>
          <cell r="E2505" t="str">
            <v xml:space="preserve">      </v>
          </cell>
          <cell r="F2505" t="str">
            <v>16.1.30.</v>
          </cell>
          <cell r="G2505" t="str">
            <v xml:space="preserve">Perfil  </v>
          </cell>
          <cell r="H2505" t="str">
            <v xml:space="preserve">      </v>
          </cell>
          <cell r="I2505">
            <v>0</v>
          </cell>
          <cell r="J2505">
            <v>0</v>
          </cell>
          <cell r="K2505">
            <v>0</v>
          </cell>
          <cell r="L2505">
            <v>0</v>
          </cell>
        </row>
        <row r="2506">
          <cell r="D2506" t="str">
            <v xml:space="preserve">  P. 32.            </v>
          </cell>
          <cell r="E2506" t="str">
            <v>CP1778</v>
          </cell>
          <cell r="F2506" t="str">
            <v>16.1.31.</v>
          </cell>
          <cell r="G2506" t="str">
            <v xml:space="preserve">Perfil perfurada, tipo u, 38x38mm, chapa #16msg, galvanizado eletroliticamente, peça de 6000 mm  </v>
          </cell>
          <cell r="H2506" t="str">
            <v xml:space="preserve">pc    </v>
          </cell>
          <cell r="I2506">
            <v>18</v>
          </cell>
          <cell r="J2506">
            <v>115.53</v>
          </cell>
          <cell r="K2506">
            <v>143.54</v>
          </cell>
          <cell r="L2506">
            <v>2079.54</v>
          </cell>
        </row>
        <row r="2507">
          <cell r="D2507" t="str">
            <v xml:space="preserve">  P. 33.            </v>
          </cell>
          <cell r="E2507" t="str">
            <v>CP2085</v>
          </cell>
          <cell r="F2507" t="str">
            <v>16.1.32.</v>
          </cell>
          <cell r="G2507" t="str">
            <v xml:space="preserve">Perfil Conexão tipo cotovelo 90o  </v>
          </cell>
          <cell r="H2507" t="str">
            <v xml:space="preserve">pc    </v>
          </cell>
          <cell r="I2507">
            <v>6</v>
          </cell>
          <cell r="J2507">
            <v>6.8</v>
          </cell>
          <cell r="K2507">
            <v>9.7200000000000006</v>
          </cell>
          <cell r="L2507">
            <v>40.799999999999997</v>
          </cell>
        </row>
        <row r="2508">
          <cell r="D2508" t="str">
            <v xml:space="preserve">  P. 34.            </v>
          </cell>
          <cell r="E2508" t="str">
            <v>CP3013</v>
          </cell>
          <cell r="F2508" t="str">
            <v>16.1.33.</v>
          </cell>
          <cell r="G2508" t="str">
            <v xml:space="preserve">Perfil Conexão tipo tê 90o  </v>
          </cell>
          <cell r="H2508" t="str">
            <v xml:space="preserve">pc    </v>
          </cell>
          <cell r="I2508">
            <v>6</v>
          </cell>
          <cell r="J2508">
            <v>14.46</v>
          </cell>
          <cell r="K2508">
            <v>13.17</v>
          </cell>
          <cell r="L2508">
            <v>86.76</v>
          </cell>
        </row>
        <row r="2509">
          <cell r="D2509" t="str">
            <v xml:space="preserve">  P. 35.            </v>
          </cell>
          <cell r="E2509" t="str">
            <v>CP1960</v>
          </cell>
          <cell r="F2509" t="str">
            <v>16.1.34.</v>
          </cell>
          <cell r="G2509" t="str">
            <v xml:space="preserve">Perfil Conexão tipo X 90o  </v>
          </cell>
          <cell r="H2509" t="str">
            <v xml:space="preserve">pc    </v>
          </cell>
          <cell r="I2509">
            <v>2</v>
          </cell>
          <cell r="J2509">
            <v>15.25</v>
          </cell>
          <cell r="K2509">
            <v>14.37</v>
          </cell>
          <cell r="L2509">
            <v>30.5</v>
          </cell>
        </row>
        <row r="2510">
          <cell r="D2510" t="str">
            <v xml:space="preserve">  P. 36.            </v>
          </cell>
          <cell r="E2510" t="str">
            <v>CP2153</v>
          </cell>
          <cell r="F2510" t="str">
            <v>16.1.35.</v>
          </cell>
          <cell r="G2510" t="str">
            <v xml:space="preserve">Perfil Junção simples  </v>
          </cell>
          <cell r="H2510" t="str">
            <v xml:space="preserve">pc    </v>
          </cell>
          <cell r="I2510">
            <v>32</v>
          </cell>
          <cell r="J2510">
            <v>8.66</v>
          </cell>
          <cell r="K2510">
            <v>7.26</v>
          </cell>
          <cell r="L2510">
            <v>277.12</v>
          </cell>
        </row>
        <row r="2511">
          <cell r="D2511" t="str">
            <v xml:space="preserve">  P. 37.            </v>
          </cell>
          <cell r="E2511" t="str">
            <v>CP2201</v>
          </cell>
          <cell r="F2511" t="str">
            <v>16.1.36.</v>
          </cell>
          <cell r="G2511" t="str">
            <v xml:space="preserve">Perfil Chumbador 1/4  </v>
          </cell>
          <cell r="H2511" t="str">
            <v xml:space="preserve">pc    </v>
          </cell>
          <cell r="I2511">
            <v>54</v>
          </cell>
          <cell r="J2511">
            <v>4.6399999999999997</v>
          </cell>
          <cell r="K2511">
            <v>5.5</v>
          </cell>
          <cell r="L2511">
            <v>250.56</v>
          </cell>
        </row>
        <row r="2512">
          <cell r="D2512" t="str">
            <v xml:space="preserve">  P. 38.            </v>
          </cell>
          <cell r="E2512" t="str">
            <v>CP2110</v>
          </cell>
          <cell r="F2512" t="str">
            <v>16.1.37.</v>
          </cell>
          <cell r="G2512" t="str">
            <v xml:space="preserve">Perfil Tirante de aço - rosca NC total 1/4  </v>
          </cell>
          <cell r="H2512" t="str">
            <v xml:space="preserve">pc    </v>
          </cell>
          <cell r="I2512">
            <v>24</v>
          </cell>
          <cell r="J2512">
            <v>17.93</v>
          </cell>
          <cell r="K2512">
            <v>19.96</v>
          </cell>
          <cell r="L2512">
            <v>430.32</v>
          </cell>
        </row>
        <row r="2513">
          <cell r="D2513" t="str">
            <v xml:space="preserve">  P. 39.            </v>
          </cell>
          <cell r="E2513" t="str">
            <v>CP2330</v>
          </cell>
          <cell r="F2513" t="str">
            <v>16.1.38.</v>
          </cell>
          <cell r="G2513" t="str">
            <v xml:space="preserve">Perfil Porca sextavada 1/4  </v>
          </cell>
          <cell r="H2513" t="str">
            <v xml:space="preserve">pc    </v>
          </cell>
          <cell r="I2513">
            <v>112</v>
          </cell>
          <cell r="J2513">
            <v>0.92</v>
          </cell>
          <cell r="K2513">
            <v>1.22</v>
          </cell>
          <cell r="L2513">
            <v>103.04</v>
          </cell>
        </row>
        <row r="2514">
          <cell r="D2514" t="str">
            <v xml:space="preserve">  P. 40.            </v>
          </cell>
          <cell r="E2514" t="str">
            <v>CP2125</v>
          </cell>
          <cell r="F2514" t="str">
            <v>16.1.39.</v>
          </cell>
          <cell r="G2514" t="str">
            <v xml:space="preserve">Perfil Suspenção para perfil 38x38 mm  </v>
          </cell>
          <cell r="H2514" t="str">
            <v xml:space="preserve">pc    </v>
          </cell>
          <cell r="I2514">
            <v>54</v>
          </cell>
          <cell r="J2514">
            <v>8.7799999999999994</v>
          </cell>
          <cell r="K2514">
            <v>7.35</v>
          </cell>
          <cell r="L2514">
            <v>474.12</v>
          </cell>
        </row>
        <row r="2515">
          <cell r="D2515" t="str">
            <v xml:space="preserve">  P. 41.            </v>
          </cell>
          <cell r="E2515" t="str">
            <v>CP1836</v>
          </cell>
          <cell r="F2515" t="str">
            <v>16.1.40.</v>
          </cell>
          <cell r="G2515" t="str">
            <v xml:space="preserve">Perfil Caixa com 1 tomada 2P (pino redondo) para inst. perfil 38x38 mm  </v>
          </cell>
          <cell r="H2515" t="str">
            <v xml:space="preserve">pc    </v>
          </cell>
          <cell r="I2515">
            <v>23</v>
          </cell>
          <cell r="J2515">
            <v>15.33</v>
          </cell>
          <cell r="K2515">
            <v>12.81</v>
          </cell>
          <cell r="L2515">
            <v>352.59</v>
          </cell>
        </row>
        <row r="2516">
          <cell r="D2516" t="str">
            <v xml:space="preserve">  P. 42.            </v>
          </cell>
          <cell r="E2516" t="str">
            <v xml:space="preserve">      </v>
          </cell>
          <cell r="F2516" t="str">
            <v>16.1.41.</v>
          </cell>
          <cell r="G2516" t="str">
            <v xml:space="preserve">Conduletes  </v>
          </cell>
          <cell r="H2516" t="str">
            <v xml:space="preserve">      </v>
          </cell>
          <cell r="I2516">
            <v>0</v>
          </cell>
          <cell r="J2516">
            <v>0</v>
          </cell>
          <cell r="K2516">
            <v>0</v>
          </cell>
          <cell r="L2516">
            <v>0</v>
          </cell>
        </row>
        <row r="2517">
          <cell r="D2517" t="str">
            <v xml:space="preserve">  P. 43.            </v>
          </cell>
          <cell r="E2517" t="str">
            <v xml:space="preserve">      </v>
          </cell>
          <cell r="F2517" t="str">
            <v>16.1.42.</v>
          </cell>
          <cell r="G2517" t="str">
            <v xml:space="preserve">Condulete em liga de alumínio fundido a prova de tempo, umidade, gases, vapores e pó - com Junta de vedação em neoprene rosca bsb (gás) conforme norma ANSI b-2.1  </v>
          </cell>
          <cell r="H2517" t="str">
            <v xml:space="preserve">      </v>
          </cell>
          <cell r="I2517">
            <v>0</v>
          </cell>
          <cell r="J2517">
            <v>0</v>
          </cell>
          <cell r="K2517">
            <v>0</v>
          </cell>
          <cell r="L2517">
            <v>0</v>
          </cell>
        </row>
        <row r="2518">
          <cell r="D2518" t="str">
            <v xml:space="preserve">  P. 44.            </v>
          </cell>
          <cell r="E2518" t="str">
            <v>CP1963</v>
          </cell>
          <cell r="F2518" t="str">
            <v>16.1.43.</v>
          </cell>
          <cell r="G2518" t="str">
            <v xml:space="preserve">Condulete em liga de alumínio fundido a prova de tempo, umidade, gases, vapores e pó - com Junta de vedação em neoprene rosca bsb (gás) conforme norma ANSI b-2.1 Ø (3/4) 20 mm  </v>
          </cell>
          <cell r="H2518" t="str">
            <v xml:space="preserve">pc    </v>
          </cell>
          <cell r="I2518">
            <v>38</v>
          </cell>
          <cell r="J2518">
            <v>17.37</v>
          </cell>
          <cell r="K2518">
            <v>14.51</v>
          </cell>
          <cell r="L2518">
            <v>660.06</v>
          </cell>
        </row>
        <row r="2519">
          <cell r="D2519" t="str">
            <v xml:space="preserve">  P. 45.            </v>
          </cell>
          <cell r="E2519" t="str">
            <v>CP1888</v>
          </cell>
          <cell r="F2519" t="str">
            <v>16.1.44.</v>
          </cell>
          <cell r="G2519" t="str">
            <v xml:space="preserve">Condulete em liga de alumínio fundido a prova de tempo, umidade, gases, vapores e pó - com Junta de vedação em neoprene rosca bsb (gás) conforme norma ANSI b-2.1 Ø (1) 25 mm  </v>
          </cell>
          <cell r="H2519" t="str">
            <v xml:space="preserve">pc    </v>
          </cell>
          <cell r="I2519">
            <v>18</v>
          </cell>
          <cell r="J2519">
            <v>21.78</v>
          </cell>
          <cell r="K2519">
            <v>18.2</v>
          </cell>
          <cell r="L2519">
            <v>392.04</v>
          </cell>
        </row>
        <row r="2520">
          <cell r="D2520" t="str">
            <v xml:space="preserve">  P. 46.            </v>
          </cell>
          <cell r="E2520" t="str">
            <v xml:space="preserve">      </v>
          </cell>
          <cell r="F2520" t="str">
            <v>16.1.45.</v>
          </cell>
          <cell r="G2520" t="str">
            <v xml:space="preserve">Interruptor em condulete metálico 20 mm  </v>
          </cell>
          <cell r="H2520" t="str">
            <v xml:space="preserve">      </v>
          </cell>
          <cell r="I2520">
            <v>0</v>
          </cell>
          <cell r="J2520">
            <v>0</v>
          </cell>
          <cell r="K2520">
            <v>0</v>
          </cell>
          <cell r="L2520">
            <v>0</v>
          </cell>
        </row>
        <row r="2521">
          <cell r="D2521" t="str">
            <v xml:space="preserve">  P. 47.            </v>
          </cell>
          <cell r="E2521" t="str">
            <v>CP1910</v>
          </cell>
          <cell r="F2521" t="str">
            <v>16.1.46.</v>
          </cell>
          <cell r="G2521" t="str">
            <v xml:space="preserve">Interruptor em condulete metálico 20 mm Tipo simples 01 tecla  </v>
          </cell>
          <cell r="H2521" t="str">
            <v xml:space="preserve">pc    </v>
          </cell>
          <cell r="I2521">
            <v>3</v>
          </cell>
          <cell r="J2521">
            <v>24.08</v>
          </cell>
          <cell r="K2521">
            <v>20.2</v>
          </cell>
          <cell r="L2521">
            <v>72.239999999999995</v>
          </cell>
        </row>
        <row r="2522">
          <cell r="D2522" t="str">
            <v xml:space="preserve">  P. 48.            </v>
          </cell>
          <cell r="E2522" t="str">
            <v>CP1899</v>
          </cell>
          <cell r="F2522" t="str">
            <v>16.1.47.</v>
          </cell>
          <cell r="G2522" t="str">
            <v xml:space="preserve">Interruptor em condulete metálico 20 mm Tipo simples 02 teclas  </v>
          </cell>
          <cell r="H2522" t="str">
            <v xml:space="preserve">pc    </v>
          </cell>
          <cell r="I2522">
            <v>3</v>
          </cell>
          <cell r="J2522">
            <v>33.74</v>
          </cell>
          <cell r="K2522">
            <v>28.13</v>
          </cell>
          <cell r="L2522">
            <v>101.22</v>
          </cell>
        </row>
        <row r="2523">
          <cell r="D2523" t="str">
            <v xml:space="preserve">  P. 49.            </v>
          </cell>
          <cell r="E2523" t="str">
            <v>CP1877</v>
          </cell>
          <cell r="F2523" t="str">
            <v>16.1.48.</v>
          </cell>
          <cell r="G2523" t="str">
            <v xml:space="preserve">Interruptor em condulete metálico 20 mm Tipo three way 02 teclas  </v>
          </cell>
          <cell r="H2523" t="str">
            <v xml:space="preserve">pc    </v>
          </cell>
          <cell r="I2523">
            <v>4</v>
          </cell>
          <cell r="J2523">
            <v>28.47</v>
          </cell>
          <cell r="K2523">
            <v>23.79</v>
          </cell>
          <cell r="L2523">
            <v>113.88</v>
          </cell>
        </row>
        <row r="2524">
          <cell r="D2524" t="str">
            <v xml:space="preserve">  P. 50.            </v>
          </cell>
          <cell r="E2524" t="str">
            <v xml:space="preserve">      </v>
          </cell>
          <cell r="F2524" t="str">
            <v>16.1.49.</v>
          </cell>
          <cell r="G2524" t="str">
            <v xml:space="preserve">Tomadas em condulete 20 mm  </v>
          </cell>
          <cell r="H2524" t="str">
            <v xml:space="preserve">      </v>
          </cell>
          <cell r="I2524">
            <v>0</v>
          </cell>
          <cell r="J2524">
            <v>0</v>
          </cell>
          <cell r="K2524">
            <v>0</v>
          </cell>
          <cell r="L2524">
            <v>0</v>
          </cell>
        </row>
        <row r="2525">
          <cell r="D2525" t="str">
            <v xml:space="preserve">  P. 51.            </v>
          </cell>
          <cell r="E2525" t="str">
            <v>CP1857</v>
          </cell>
          <cell r="F2525" t="str">
            <v>16.1.50.</v>
          </cell>
          <cell r="G2525" t="str">
            <v xml:space="preserve">Tomadas em condulete 20 mm Tipo 2p+t (pino redondo, tipo universal)  </v>
          </cell>
          <cell r="H2525" t="str">
            <v xml:space="preserve">pc    </v>
          </cell>
          <cell r="I2525">
            <v>12</v>
          </cell>
          <cell r="J2525">
            <v>17.559999999999999</v>
          </cell>
          <cell r="K2525">
            <v>14.75</v>
          </cell>
          <cell r="L2525">
            <v>210.72</v>
          </cell>
        </row>
        <row r="2526">
          <cell r="D2526" t="str">
            <v xml:space="preserve">  P. 52.            </v>
          </cell>
          <cell r="E2526" t="str">
            <v>CP1846</v>
          </cell>
          <cell r="F2526" t="str">
            <v>16.1.51.</v>
          </cell>
          <cell r="G2526" t="str">
            <v xml:space="preserve">Tomadas em condulete 20 mm Tipo 2p+t (pino chato)  </v>
          </cell>
          <cell r="H2526" t="str">
            <v xml:space="preserve">pc    </v>
          </cell>
          <cell r="I2526">
            <v>7</v>
          </cell>
          <cell r="J2526">
            <v>25</v>
          </cell>
          <cell r="K2526">
            <v>21</v>
          </cell>
          <cell r="L2526">
            <v>175</v>
          </cell>
        </row>
        <row r="2527">
          <cell r="D2527" t="str">
            <v xml:space="preserve">  P. 53.            </v>
          </cell>
          <cell r="E2527" t="str">
            <v>CP1724</v>
          </cell>
          <cell r="F2527" t="str">
            <v>16.1.52.</v>
          </cell>
          <cell r="G2527" t="str">
            <v xml:space="preserve">Tomada tetrapolar, 50 A, Steck ou similar  </v>
          </cell>
          <cell r="H2527" t="str">
            <v xml:space="preserve">un    </v>
          </cell>
          <cell r="I2527">
            <v>1</v>
          </cell>
          <cell r="J2527">
            <v>62.56</v>
          </cell>
          <cell r="K2527">
            <v>52.2</v>
          </cell>
          <cell r="L2527">
            <v>62.56</v>
          </cell>
        </row>
        <row r="2528">
          <cell r="D2528" t="str">
            <v xml:space="preserve">  P. 54.            </v>
          </cell>
          <cell r="E2528" t="str">
            <v xml:space="preserve">      </v>
          </cell>
          <cell r="F2528" t="str">
            <v>16.1.53.</v>
          </cell>
          <cell r="G2528" t="str">
            <v xml:space="preserve">Luminárias  </v>
          </cell>
          <cell r="H2528" t="str">
            <v xml:space="preserve">      </v>
          </cell>
          <cell r="I2528">
            <v>0</v>
          </cell>
          <cell r="J2528">
            <v>0</v>
          </cell>
          <cell r="K2528">
            <v>0</v>
          </cell>
          <cell r="L2528">
            <v>0</v>
          </cell>
        </row>
        <row r="2529">
          <cell r="D2529" t="str">
            <v xml:space="preserve">  P. 55.            </v>
          </cell>
          <cell r="E2529" t="str">
            <v>CP1764</v>
          </cell>
          <cell r="F2529" t="str">
            <v>16.1.54.</v>
          </cell>
          <cell r="G2529" t="str">
            <v xml:space="preserve">Luminária para lâmpada incadescente 1x60W, de sobrepor, corpo em chapa de aço tratada e pintura eletrostática branca. Refletor em chapa de alumínio anodizado brilhante, mod. XP 618 Xoulux ou similar.  </v>
          </cell>
          <cell r="H2529" t="str">
            <v xml:space="preserve">pc    </v>
          </cell>
          <cell r="I2529">
            <v>3</v>
          </cell>
          <cell r="J2529">
            <v>119.51</v>
          </cell>
          <cell r="K2529">
            <v>148.5</v>
          </cell>
          <cell r="L2529">
            <v>358.53</v>
          </cell>
        </row>
        <row r="2530">
          <cell r="D2530" t="str">
            <v xml:space="preserve">  P. 56.            </v>
          </cell>
          <cell r="E2530" t="str">
            <v>CP1651</v>
          </cell>
          <cell r="F2530" t="str">
            <v>16.1.55.</v>
          </cell>
          <cell r="G2530" t="str">
            <v>Luminária 2X32W, de sobrepor, corpo em chapa de aço tratada e pintura eletrostática branca. Refletor em chapa de alumínio anodizado brilhante, de alta pureza e reator eletrônico, de alto fator de potência, alojado na cabeceira e acompanhado de lâmpadas, a</v>
          </cell>
          <cell r="H2530" t="str">
            <v xml:space="preserve">pc    </v>
          </cell>
          <cell r="I2530">
            <v>20</v>
          </cell>
          <cell r="J2530">
            <v>104.77</v>
          </cell>
          <cell r="K2530">
            <v>87.99</v>
          </cell>
          <cell r="L2530">
            <v>2095.4</v>
          </cell>
        </row>
        <row r="2531">
          <cell r="D2531" t="str">
            <v xml:space="preserve">  P. 57.            </v>
          </cell>
          <cell r="E2531" t="str">
            <v>CP1592</v>
          </cell>
          <cell r="F2531" t="str">
            <v>16.1.56.</v>
          </cell>
          <cell r="G2531" t="str">
            <v>Projetor retangular fabricado em chapa de alumínio dobrada, refletor em alumínio escamado e polido quimicamente, lente plana de cristal temperado, soquete de porcelana reforçado, filtro, para utilização com 01 lâmpada a vapor de sódio 150W, com reator abr</v>
          </cell>
          <cell r="H2531" t="str">
            <v xml:space="preserve">pç    </v>
          </cell>
          <cell r="I2531">
            <v>6</v>
          </cell>
          <cell r="J2531">
            <v>936.09</v>
          </cell>
          <cell r="K2531">
            <v>1163.1500000000001</v>
          </cell>
          <cell r="L2531">
            <v>5616.54</v>
          </cell>
        </row>
        <row r="2532">
          <cell r="D2532" t="str">
            <v xml:space="preserve">  P. 58.            </v>
          </cell>
          <cell r="E2532" t="str">
            <v xml:space="preserve">      </v>
          </cell>
          <cell r="F2532" t="str">
            <v>16.1.57.</v>
          </cell>
          <cell r="G2532" t="str">
            <v xml:space="preserve">Outros  </v>
          </cell>
          <cell r="H2532" t="str">
            <v xml:space="preserve">      </v>
          </cell>
          <cell r="I2532">
            <v>0</v>
          </cell>
          <cell r="J2532">
            <v>0</v>
          </cell>
          <cell r="K2532">
            <v>0</v>
          </cell>
          <cell r="L2532">
            <v>0</v>
          </cell>
        </row>
        <row r="2533">
          <cell r="D2533" t="str">
            <v xml:space="preserve">  P. 59.            </v>
          </cell>
          <cell r="E2533" t="str">
            <v>CP1475</v>
          </cell>
          <cell r="F2533" t="str">
            <v>16.1.58.</v>
          </cell>
          <cell r="G2533" t="str">
            <v xml:space="preserve">Acessórios (lamina de serra, saída para eletroduto de perfil, anilhas, arame guia 16 awg, fita isolante, etc)  </v>
          </cell>
          <cell r="H2533" t="str">
            <v xml:space="preserve">un    </v>
          </cell>
          <cell r="I2533">
            <v>1</v>
          </cell>
          <cell r="J2533">
            <v>741.45</v>
          </cell>
          <cell r="K2533">
            <v>1059.22</v>
          </cell>
          <cell r="L2533">
            <v>741.45</v>
          </cell>
        </row>
        <row r="2534">
          <cell r="D2534" t="str">
            <v xml:space="preserve">  P. 60.            </v>
          </cell>
          <cell r="E2534" t="str">
            <v xml:space="preserve">      </v>
          </cell>
          <cell r="F2534" t="str">
            <v>16.1.59.</v>
          </cell>
          <cell r="G2534" t="str">
            <v xml:space="preserve">Equipamentos  </v>
          </cell>
          <cell r="H2534" t="str">
            <v xml:space="preserve">      </v>
          </cell>
          <cell r="I2534">
            <v>0</v>
          </cell>
          <cell r="J2534">
            <v>0</v>
          </cell>
          <cell r="K2534">
            <v>0</v>
          </cell>
          <cell r="L2534">
            <v>0</v>
          </cell>
        </row>
        <row r="2535">
          <cell r="D2535" t="str">
            <v xml:space="preserve">  P. 61.            </v>
          </cell>
          <cell r="E2535" t="str">
            <v>CP1334</v>
          </cell>
          <cell r="F2535" t="str">
            <v>16.1.60.</v>
          </cell>
          <cell r="G2535" t="str">
            <v xml:space="preserve">No-break 3 kVA, 220 V, monofásico, com banco de baterias selada, em gabinete próprio, autonomia de 10 min, on-line, conforme especificações  </v>
          </cell>
          <cell r="H2535" t="str">
            <v xml:space="preserve">pc    </v>
          </cell>
          <cell r="I2535">
            <v>1</v>
          </cell>
          <cell r="J2535">
            <v>5836.43</v>
          </cell>
          <cell r="K2535">
            <v>4873.88</v>
          </cell>
          <cell r="L2535">
            <v>5836.43</v>
          </cell>
        </row>
        <row r="2536">
          <cell r="D2536" t="str">
            <v xml:space="preserve">  P. 62.            </v>
          </cell>
          <cell r="E2536" t="str">
            <v xml:space="preserve">      </v>
          </cell>
          <cell r="F2536" t="str">
            <v>16.2.</v>
          </cell>
          <cell r="G2536" t="str">
            <v xml:space="preserve">Subestação do Pré-tratamento, Reforma da Subestação Principal e Cabine de Entrada  </v>
          </cell>
          <cell r="H2536" t="str">
            <v xml:space="preserve">      </v>
          </cell>
          <cell r="I2536">
            <v>0</v>
          </cell>
          <cell r="J2536">
            <v>0</v>
          </cell>
          <cell r="K2536">
            <v>0</v>
          </cell>
          <cell r="L2536">
            <v>0</v>
          </cell>
        </row>
        <row r="2537">
          <cell r="D2537" t="str">
            <v xml:space="preserve">  P. 63.            </v>
          </cell>
          <cell r="E2537" t="str">
            <v xml:space="preserve">      </v>
          </cell>
          <cell r="F2537" t="str">
            <v>16.2.1.</v>
          </cell>
          <cell r="G2537" t="str">
            <v xml:space="preserve">Fornecimento e montagem de Transformador:  </v>
          </cell>
          <cell r="H2537" t="str">
            <v xml:space="preserve">      </v>
          </cell>
          <cell r="I2537">
            <v>0</v>
          </cell>
          <cell r="J2537">
            <v>0</v>
          </cell>
          <cell r="K2537">
            <v>0</v>
          </cell>
          <cell r="L2537">
            <v>0</v>
          </cell>
        </row>
        <row r="2538">
          <cell r="D2538" t="str">
            <v xml:space="preserve">  P. 64.            </v>
          </cell>
          <cell r="E2538" t="str">
            <v xml:space="preserve">      </v>
          </cell>
          <cell r="F2538" t="str">
            <v>16.2.2.</v>
          </cell>
          <cell r="G2538" t="str">
            <v xml:space="preserve">Transformadores  </v>
          </cell>
          <cell r="H2538" t="str">
            <v xml:space="preserve">      </v>
          </cell>
          <cell r="I2538">
            <v>0</v>
          </cell>
          <cell r="J2538">
            <v>0</v>
          </cell>
          <cell r="K2538">
            <v>0</v>
          </cell>
          <cell r="L2538">
            <v>0</v>
          </cell>
        </row>
        <row r="2539">
          <cell r="D2539" t="str">
            <v xml:space="preserve">  P. 65.            </v>
          </cell>
          <cell r="E2539" t="str">
            <v>CP1255</v>
          </cell>
          <cell r="F2539" t="str">
            <v>16.2.3.</v>
          </cell>
          <cell r="G2539" t="str">
            <v xml:space="preserve">Transformador de força trifásico, 500 kVA, 13,8 kV -0,380/0,220 V, conforme especificação técnica  </v>
          </cell>
          <cell r="H2539" t="str">
            <v xml:space="preserve">cj    </v>
          </cell>
          <cell r="I2539">
            <v>2</v>
          </cell>
          <cell r="J2539">
            <v>47510</v>
          </cell>
          <cell r="K2539">
            <v>39896.31</v>
          </cell>
          <cell r="L2539">
            <v>95020</v>
          </cell>
        </row>
        <row r="2540">
          <cell r="D2540" t="str">
            <v xml:space="preserve">  P. 66.            </v>
          </cell>
          <cell r="E2540" t="str">
            <v>CP1272</v>
          </cell>
          <cell r="F2540" t="str">
            <v>16.2.4.</v>
          </cell>
          <cell r="G2540" t="str">
            <v xml:space="preserve">Transformador de força trifásico, 225 kVA, 13,8 kV-0, 380/0,220 V, conforme especificação técnica 43-ET-008  </v>
          </cell>
          <cell r="H2540" t="str">
            <v xml:space="preserve">cj    </v>
          </cell>
          <cell r="I2540">
            <v>1</v>
          </cell>
          <cell r="J2540">
            <v>30341.81</v>
          </cell>
          <cell r="K2540">
            <v>25368.62</v>
          </cell>
          <cell r="L2540">
            <v>30341.81</v>
          </cell>
        </row>
        <row r="2541">
          <cell r="D2541" t="str">
            <v xml:space="preserve">  P. 67.            </v>
          </cell>
          <cell r="E2541" t="str">
            <v>CP1251</v>
          </cell>
          <cell r="F2541" t="str">
            <v>16.2.5.</v>
          </cell>
          <cell r="G2541" t="str">
            <v xml:space="preserve">Disjuntor a vácuo, 15 kV, 630 A, provido de relé secundário, conforme especificações  </v>
          </cell>
          <cell r="H2541" t="str">
            <v xml:space="preserve">pc    </v>
          </cell>
          <cell r="I2541">
            <v>1</v>
          </cell>
          <cell r="J2541">
            <v>29368</v>
          </cell>
          <cell r="K2541">
            <v>24613.63</v>
          </cell>
          <cell r="L2541">
            <v>29368</v>
          </cell>
        </row>
        <row r="2542">
          <cell r="D2542" t="str">
            <v xml:space="preserve">  P. 68.            </v>
          </cell>
          <cell r="E2542" t="str">
            <v>CP1445</v>
          </cell>
          <cell r="F2542" t="str">
            <v>16.2.6.</v>
          </cell>
          <cell r="G2542" t="str">
            <v>Chave seccionadora tripolar, abertura simultânea das três fases sem carga, uso abrigado, instalação vertical em parede de alvenaria, classe de tensão de 15 kV, corrente nominal de 400 A, NBI de 95 kV, acionamento manual, fornecida com prolongador, bloquei</v>
          </cell>
          <cell r="H2542" t="str">
            <v xml:space="preserve">pc    </v>
          </cell>
          <cell r="I2542">
            <v>3</v>
          </cell>
          <cell r="J2542">
            <v>2973.9</v>
          </cell>
          <cell r="K2542">
            <v>2484.2800000000002</v>
          </cell>
          <cell r="L2542">
            <v>8921.7000000000007</v>
          </cell>
        </row>
        <row r="2543">
          <cell r="D2543" t="str">
            <v xml:space="preserve">  P. 69.            </v>
          </cell>
          <cell r="E2543" t="str">
            <v xml:space="preserve">      </v>
          </cell>
          <cell r="F2543" t="str">
            <v>16.2.7.</v>
          </cell>
          <cell r="G2543" t="str">
            <v xml:space="preserve">Fusível 15 kV, tipo HH:  </v>
          </cell>
          <cell r="H2543" t="str">
            <v xml:space="preserve">      </v>
          </cell>
          <cell r="I2543">
            <v>0</v>
          </cell>
          <cell r="J2543">
            <v>0</v>
          </cell>
          <cell r="K2543">
            <v>0</v>
          </cell>
          <cell r="L2543">
            <v>0</v>
          </cell>
        </row>
        <row r="2544">
          <cell r="D2544" t="str">
            <v xml:space="preserve">  P. 70.            </v>
          </cell>
          <cell r="E2544" t="str">
            <v>CP1649</v>
          </cell>
          <cell r="F2544" t="str">
            <v>16.2.8.</v>
          </cell>
          <cell r="G2544" t="str">
            <v xml:space="preserve">Fusível 15 kV, tipo HH: 20 A  </v>
          </cell>
          <cell r="H2544" t="str">
            <v xml:space="preserve">pc    </v>
          </cell>
          <cell r="I2544">
            <v>3</v>
          </cell>
          <cell r="J2544">
            <v>255.52</v>
          </cell>
          <cell r="K2544">
            <v>213.2</v>
          </cell>
          <cell r="L2544">
            <v>766.56</v>
          </cell>
        </row>
        <row r="2545">
          <cell r="D2545" t="str">
            <v xml:space="preserve">  P. 71.            </v>
          </cell>
          <cell r="E2545" t="str">
            <v>CP1659</v>
          </cell>
          <cell r="F2545" t="str">
            <v>16.2.9.</v>
          </cell>
          <cell r="G2545" t="str">
            <v xml:space="preserve">Fusível 15 kV, tipo HH: 25 A  </v>
          </cell>
          <cell r="H2545" t="str">
            <v xml:space="preserve">pc    </v>
          </cell>
          <cell r="I2545">
            <v>6</v>
          </cell>
          <cell r="J2545">
            <v>255.28</v>
          </cell>
          <cell r="K2545">
            <v>213.2</v>
          </cell>
          <cell r="L2545">
            <v>1531.68</v>
          </cell>
        </row>
        <row r="2546">
          <cell r="D2546" t="str">
            <v xml:space="preserve">  P. 72.            </v>
          </cell>
          <cell r="E2546" t="str">
            <v>CP1795</v>
          </cell>
          <cell r="F2546" t="str">
            <v>16.2.10.</v>
          </cell>
          <cell r="G2546" t="str">
            <v xml:space="preserve">Isolador de pedestal para uso abrigado, fabricado em porcelana vitrificada na cor marrom, classe de tensão 15 kV, fornecido com  garra para vergalhão de cobre DN 8, 5 mm  </v>
          </cell>
          <cell r="H2546" t="str">
            <v xml:space="preserve">pç    </v>
          </cell>
          <cell r="I2546">
            <v>12</v>
          </cell>
          <cell r="J2546">
            <v>95.16</v>
          </cell>
          <cell r="K2546">
            <v>97.97</v>
          </cell>
          <cell r="L2546">
            <v>1141.92</v>
          </cell>
        </row>
        <row r="2547">
          <cell r="D2547" t="str">
            <v xml:space="preserve">  P. 73.            </v>
          </cell>
          <cell r="E2547" t="str">
            <v>CP1802</v>
          </cell>
          <cell r="F2547" t="str">
            <v>16.2.11.</v>
          </cell>
          <cell r="G2547" t="str">
            <v xml:space="preserve">Placa de sinalização indicando perigo de morte conforme padrão CEB  </v>
          </cell>
          <cell r="H2547" t="str">
            <v xml:space="preserve">pç    </v>
          </cell>
          <cell r="I2547">
            <v>5</v>
          </cell>
          <cell r="J2547">
            <v>60.93</v>
          </cell>
          <cell r="K2547">
            <v>56.17</v>
          </cell>
          <cell r="L2547">
            <v>304.64999999999998</v>
          </cell>
        </row>
        <row r="2548">
          <cell r="D2548" t="str">
            <v xml:space="preserve">  P. 74.            </v>
          </cell>
          <cell r="E2548" t="str">
            <v>CP1503</v>
          </cell>
          <cell r="F2548" t="str">
            <v>16.2.12.</v>
          </cell>
          <cell r="G2548" t="str">
            <v xml:space="preserve">Chave faca, tripolar, 200A, 15 kV  </v>
          </cell>
          <cell r="H2548" t="str">
            <v xml:space="preserve">pc    </v>
          </cell>
          <cell r="I2548">
            <v>1</v>
          </cell>
          <cell r="J2548">
            <v>1531.13</v>
          </cell>
          <cell r="K2548">
            <v>1344.9</v>
          </cell>
          <cell r="L2548">
            <v>1531.13</v>
          </cell>
        </row>
        <row r="2549">
          <cell r="D2549" t="str">
            <v xml:space="preserve">  P. 75.            </v>
          </cell>
          <cell r="E2549" t="str">
            <v>CP1623</v>
          </cell>
          <cell r="F2549" t="str">
            <v>16.2.13.</v>
          </cell>
          <cell r="G2549" t="str">
            <v xml:space="preserve">Mufla terminal, uso interno, 15 kV  </v>
          </cell>
          <cell r="H2549" t="str">
            <v xml:space="preserve">pc    </v>
          </cell>
          <cell r="I2549">
            <v>4</v>
          </cell>
          <cell r="J2549">
            <v>497.07</v>
          </cell>
          <cell r="K2549">
            <v>478.52</v>
          </cell>
          <cell r="L2549">
            <v>1988.28</v>
          </cell>
        </row>
        <row r="2550">
          <cell r="D2550" t="str">
            <v xml:space="preserve">  P. 76.            </v>
          </cell>
          <cell r="E2550" t="str">
            <v>CP1669</v>
          </cell>
          <cell r="F2550" t="str">
            <v>16.2.14.</v>
          </cell>
          <cell r="G2550" t="str">
            <v xml:space="preserve">Eletroduto PVC rígido rosca bsp ABNT 744 classe b NBR 6150 antichama com uma luvaDn (4) 100 mm  </v>
          </cell>
          <cell r="H2550" t="str">
            <v xml:space="preserve">pc    </v>
          </cell>
          <cell r="I2550">
            <v>10</v>
          </cell>
          <cell r="J2550">
            <v>156.63</v>
          </cell>
          <cell r="K2550">
            <v>223.76</v>
          </cell>
          <cell r="L2550">
            <v>1566.3</v>
          </cell>
        </row>
        <row r="2551">
          <cell r="D2551" t="str">
            <v xml:space="preserve">  P. 77.            </v>
          </cell>
          <cell r="E2551" t="str">
            <v>CP1803</v>
          </cell>
          <cell r="F2551" t="str">
            <v>16.2.15.</v>
          </cell>
          <cell r="G2551" t="str">
            <v xml:space="preserve">Curva eletroduto PVC rígido rosca bsp ABNT eb 744 classe b NBR 6150 antichama 90o Dn (4") 100 mm  </v>
          </cell>
          <cell r="H2551" t="str">
            <v xml:space="preserve">pc    </v>
          </cell>
          <cell r="I2551">
            <v>6</v>
          </cell>
          <cell r="J2551">
            <v>60.35</v>
          </cell>
          <cell r="K2551">
            <v>50.5</v>
          </cell>
          <cell r="L2551">
            <v>362.1</v>
          </cell>
        </row>
        <row r="2552">
          <cell r="D2552" t="str">
            <v xml:space="preserve">  P. 78.            </v>
          </cell>
          <cell r="E2552" t="str">
            <v>CP1970</v>
          </cell>
          <cell r="F2552" t="str">
            <v>16.2.16.</v>
          </cell>
          <cell r="G2552" t="str">
            <v xml:space="preserve">Eletroduto aço carbono com costura ABNT NBR 5624 pesado classe i, zincado, com uma luva, parede de espessura 3,75 mm, comp. de 3000 mm Dn (3/4) 20mm  </v>
          </cell>
          <cell r="H2552" t="str">
            <v xml:space="preserve">m     </v>
          </cell>
          <cell r="I2552">
            <v>10</v>
          </cell>
          <cell r="J2552">
            <v>11.9</v>
          </cell>
          <cell r="K2552">
            <v>9.9600000000000009</v>
          </cell>
          <cell r="L2552">
            <v>119</v>
          </cell>
        </row>
        <row r="2553">
          <cell r="D2553" t="str">
            <v xml:space="preserve">  P. 79.            </v>
          </cell>
          <cell r="E2553" t="str">
            <v>CP2311</v>
          </cell>
          <cell r="F2553" t="str">
            <v>16.2.17.</v>
          </cell>
          <cell r="G2553" t="str">
            <v xml:space="preserve">Bucha e arruela ferro galvanizado Dn (3/4) 20 mm  </v>
          </cell>
          <cell r="H2553" t="str">
            <v xml:space="preserve">pc    </v>
          </cell>
          <cell r="I2553">
            <v>12</v>
          </cell>
          <cell r="J2553">
            <v>1.03</v>
          </cell>
          <cell r="K2553">
            <v>1.32</v>
          </cell>
          <cell r="L2553">
            <v>12.36</v>
          </cell>
        </row>
        <row r="2554">
          <cell r="D2554" t="str">
            <v xml:space="preserve">  P. 80.            </v>
          </cell>
          <cell r="E2554" t="str">
            <v>CP2297</v>
          </cell>
          <cell r="F2554" t="str">
            <v>16.2.18.</v>
          </cell>
          <cell r="G2554" t="str">
            <v xml:space="preserve">Braçadeira tipo d Dn (3/4) 20 mm  </v>
          </cell>
          <cell r="H2554" t="str">
            <v xml:space="preserve">pc    </v>
          </cell>
          <cell r="I2554">
            <v>5</v>
          </cell>
          <cell r="J2554">
            <v>5.17</v>
          </cell>
          <cell r="K2554">
            <v>7.38</v>
          </cell>
          <cell r="L2554">
            <v>25.85</v>
          </cell>
        </row>
        <row r="2555">
          <cell r="D2555" t="str">
            <v xml:space="preserve">  P. 81.            </v>
          </cell>
          <cell r="E2555" t="str">
            <v>CP2299</v>
          </cell>
          <cell r="F2555" t="str">
            <v>16.2.19.</v>
          </cell>
          <cell r="G2555" t="str">
            <v xml:space="preserve">Cabos e acessórios Cabo cobre, tempera mole, PVC, 70oc, 0, 45/0.7kV NBR-6880, NBR-6148#2, 5mm  </v>
          </cell>
          <cell r="H2555" t="str">
            <v xml:space="preserve">m     </v>
          </cell>
          <cell r="I2555">
            <v>300</v>
          </cell>
          <cell r="J2555">
            <v>2.79</v>
          </cell>
          <cell r="K2555">
            <v>2.37</v>
          </cell>
          <cell r="L2555">
            <v>837</v>
          </cell>
        </row>
        <row r="2556">
          <cell r="D2556" t="str">
            <v xml:space="preserve">  P. 82.            </v>
          </cell>
          <cell r="E2556" t="str">
            <v xml:space="preserve">      </v>
          </cell>
          <cell r="F2556" t="str">
            <v>16.2.20.</v>
          </cell>
          <cell r="G2556" t="str">
            <v xml:space="preserve">Conduletes  </v>
          </cell>
          <cell r="H2556" t="str">
            <v xml:space="preserve">      </v>
          </cell>
          <cell r="I2556">
            <v>0</v>
          </cell>
          <cell r="J2556">
            <v>0</v>
          </cell>
          <cell r="K2556">
            <v>0</v>
          </cell>
          <cell r="L2556">
            <v>0</v>
          </cell>
        </row>
        <row r="2557">
          <cell r="D2557" t="str">
            <v xml:space="preserve">  P. 83.            </v>
          </cell>
          <cell r="E2557" t="str">
            <v>CP1952</v>
          </cell>
          <cell r="F2557" t="str">
            <v>16.2.21.</v>
          </cell>
          <cell r="G2557" t="str">
            <v xml:space="preserve">Condulete em liga de alumínio fundido a prova de tempo, umidade, gases, vapores e pó - com Junta de vedação em neoprene rosca bsb (gás) conforme norma ANSI b-2.1 Ø (3/4) 20 mm  </v>
          </cell>
          <cell r="H2557" t="str">
            <v xml:space="preserve">pc    </v>
          </cell>
          <cell r="I2557">
            <v>4</v>
          </cell>
          <cell r="J2557">
            <v>17.41</v>
          </cell>
          <cell r="K2557">
            <v>14.51</v>
          </cell>
          <cell r="L2557">
            <v>69.64</v>
          </cell>
        </row>
        <row r="2558">
          <cell r="D2558" t="str">
            <v xml:space="preserve">  P. 84.            </v>
          </cell>
          <cell r="E2558" t="str">
            <v>CP1910</v>
          </cell>
          <cell r="F2558" t="str">
            <v>16.2.22.</v>
          </cell>
          <cell r="G2558" t="str">
            <v xml:space="preserve">Interruptor em condulete metálico, 20 mm Tipo simples 01 tecla  </v>
          </cell>
          <cell r="H2558" t="str">
            <v xml:space="preserve">pc    </v>
          </cell>
          <cell r="I2558">
            <v>1</v>
          </cell>
          <cell r="J2558">
            <v>24.08</v>
          </cell>
          <cell r="K2558">
            <v>20.2</v>
          </cell>
          <cell r="L2558">
            <v>24.08</v>
          </cell>
        </row>
        <row r="2559">
          <cell r="D2559" t="str">
            <v xml:space="preserve">  P. 85.            </v>
          </cell>
          <cell r="E2559" t="str">
            <v>CP1857</v>
          </cell>
          <cell r="F2559" t="str">
            <v>16.2.23.</v>
          </cell>
          <cell r="G2559" t="str">
            <v xml:space="preserve">Tomadas em condulete 20 mm Tipo 2p+t (pino redondo, tipo universal)  </v>
          </cell>
          <cell r="H2559" t="str">
            <v xml:space="preserve">pc    </v>
          </cell>
          <cell r="I2559">
            <v>1</v>
          </cell>
          <cell r="J2559">
            <v>17.559999999999999</v>
          </cell>
          <cell r="K2559">
            <v>14.75</v>
          </cell>
          <cell r="L2559">
            <v>17.559999999999999</v>
          </cell>
        </row>
        <row r="2560">
          <cell r="D2560" t="str">
            <v xml:space="preserve">  P. 86.            </v>
          </cell>
          <cell r="E2560" t="str">
            <v xml:space="preserve">      </v>
          </cell>
          <cell r="F2560" t="str">
            <v>16.2.24.</v>
          </cell>
          <cell r="G2560" t="str">
            <v xml:space="preserve">Luminárias  </v>
          </cell>
          <cell r="H2560" t="str">
            <v xml:space="preserve">      </v>
          </cell>
          <cell r="I2560">
            <v>0</v>
          </cell>
          <cell r="J2560">
            <v>0</v>
          </cell>
          <cell r="K2560">
            <v>0</v>
          </cell>
          <cell r="L2560">
            <v>0</v>
          </cell>
        </row>
        <row r="2561">
          <cell r="D2561" t="str">
            <v xml:space="preserve">  P. 87.            </v>
          </cell>
          <cell r="E2561" t="str">
            <v>CP1651</v>
          </cell>
          <cell r="F2561" t="str">
            <v>16.2.25.</v>
          </cell>
          <cell r="G2561" t="str">
            <v>Luminária 2X32W, de sobrepor, corpo em chapa de aço tratada e pintura eletrostática branca. Refletor em chapa de alumínio anodizado brilhante, de alta pureza e reator eletrônico, de alto fator de potência, alojado na cabeceira e acompanhado de lâmpadas, a</v>
          </cell>
          <cell r="H2561" t="str">
            <v xml:space="preserve">pc    </v>
          </cell>
          <cell r="I2561">
            <v>2</v>
          </cell>
          <cell r="J2561">
            <v>104.77</v>
          </cell>
          <cell r="K2561">
            <v>87.99</v>
          </cell>
          <cell r="L2561">
            <v>209.54</v>
          </cell>
        </row>
        <row r="2562">
          <cell r="D2562" t="str">
            <v xml:space="preserve">  P. 88.            </v>
          </cell>
          <cell r="E2562" t="str">
            <v xml:space="preserve">      </v>
          </cell>
          <cell r="F2562" t="str">
            <v>16.2.26.</v>
          </cell>
          <cell r="G2562" t="str">
            <v xml:space="preserve">Outros  </v>
          </cell>
          <cell r="H2562" t="str">
            <v xml:space="preserve">      </v>
          </cell>
          <cell r="I2562">
            <v>0</v>
          </cell>
          <cell r="J2562">
            <v>0</v>
          </cell>
          <cell r="K2562">
            <v>0</v>
          </cell>
          <cell r="L2562">
            <v>0</v>
          </cell>
        </row>
        <row r="2563">
          <cell r="D2563" t="str">
            <v xml:space="preserve">  P. 89.            </v>
          </cell>
          <cell r="E2563" t="str">
            <v>CP1402</v>
          </cell>
          <cell r="F2563" t="str">
            <v>16.2.27.</v>
          </cell>
          <cell r="G2563" t="str">
            <v xml:space="preserve">Acessórios (vergalhão de cobre, telas de proteção, conforme detalhes do projeto)  </v>
          </cell>
          <cell r="H2563" t="str">
            <v xml:space="preserve">un    </v>
          </cell>
          <cell r="I2563">
            <v>1</v>
          </cell>
          <cell r="J2563">
            <v>3372.19</v>
          </cell>
          <cell r="K2563">
            <v>2818.79</v>
          </cell>
          <cell r="L2563">
            <v>3372.19</v>
          </cell>
        </row>
        <row r="2564">
          <cell r="D2564" t="str">
            <v xml:space="preserve">  P. 90.            </v>
          </cell>
          <cell r="E2564" t="str">
            <v xml:space="preserve">      </v>
          </cell>
          <cell r="F2564" t="str">
            <v>16.2.28.</v>
          </cell>
          <cell r="G2564" t="str">
            <v xml:space="preserve">Serviço  </v>
          </cell>
          <cell r="H2564" t="str">
            <v xml:space="preserve">      </v>
          </cell>
          <cell r="I2564">
            <v>0</v>
          </cell>
          <cell r="J2564">
            <v>0</v>
          </cell>
          <cell r="K2564">
            <v>0</v>
          </cell>
          <cell r="L2564">
            <v>0</v>
          </cell>
        </row>
        <row r="2565">
          <cell r="D2565" t="str">
            <v xml:space="preserve">  P. 91.            </v>
          </cell>
          <cell r="E2565" t="str">
            <v>CP1389</v>
          </cell>
          <cell r="F2565" t="str">
            <v>16.2.29.</v>
          </cell>
          <cell r="G2565" t="str">
            <v xml:space="preserve">Execução de abrigo para a subestação do pré-tratamento, compreendendo execução de bases em concreto, etc, conforme detalhes do projeto.  </v>
          </cell>
          <cell r="H2565" t="str">
            <v xml:space="preserve">un    </v>
          </cell>
          <cell r="I2565">
            <v>1</v>
          </cell>
          <cell r="J2565">
            <v>4761.0600000000004</v>
          </cell>
          <cell r="K2565">
            <v>5915.94</v>
          </cell>
          <cell r="L2565">
            <v>4761.0600000000004</v>
          </cell>
        </row>
        <row r="2566">
          <cell r="D2566" t="str">
            <v xml:space="preserve">  P. 92.            </v>
          </cell>
          <cell r="E2566" t="str">
            <v>CP1446</v>
          </cell>
          <cell r="F2566" t="str">
            <v>16.2.30.</v>
          </cell>
          <cell r="G2566" t="str">
            <v xml:space="preserve">Execução da ampliação da subestação principal, para abrigar o novo transformador de 500 kVA  </v>
          </cell>
          <cell r="H2566" t="str">
            <v xml:space="preserve">un    </v>
          </cell>
          <cell r="I2566">
            <v>1</v>
          </cell>
          <cell r="J2566">
            <v>4761.0600000000004</v>
          </cell>
          <cell r="K2566">
            <v>5915.94</v>
          </cell>
          <cell r="L2566">
            <v>4761.0600000000004</v>
          </cell>
        </row>
        <row r="2567">
          <cell r="D2567" t="str">
            <v xml:space="preserve">  P. 93.            </v>
          </cell>
          <cell r="E2567" t="str">
            <v xml:space="preserve">      </v>
          </cell>
          <cell r="F2567" t="str">
            <v>16.3.</v>
          </cell>
          <cell r="G2567" t="str">
            <v xml:space="preserve">Grupo Gerador  </v>
          </cell>
          <cell r="H2567" t="str">
            <v xml:space="preserve">      </v>
          </cell>
          <cell r="I2567">
            <v>0</v>
          </cell>
          <cell r="J2567">
            <v>0</v>
          </cell>
          <cell r="K2567">
            <v>0</v>
          </cell>
          <cell r="L2567">
            <v>0</v>
          </cell>
        </row>
        <row r="2568">
          <cell r="D2568" t="str">
            <v xml:space="preserve">  P. 94.            </v>
          </cell>
          <cell r="E2568" t="str">
            <v xml:space="preserve">      </v>
          </cell>
          <cell r="F2568" t="str">
            <v>16.3.1.</v>
          </cell>
          <cell r="G2568" t="str">
            <v xml:space="preserve">Fornecimento e instalação  </v>
          </cell>
          <cell r="H2568" t="str">
            <v xml:space="preserve">      </v>
          </cell>
          <cell r="I2568">
            <v>0</v>
          </cell>
          <cell r="J2568">
            <v>0</v>
          </cell>
          <cell r="K2568">
            <v>0</v>
          </cell>
          <cell r="L2568">
            <v>0</v>
          </cell>
        </row>
        <row r="2569">
          <cell r="D2569" t="str">
            <v xml:space="preserve">  P. 95.            </v>
          </cell>
          <cell r="E2569" t="str">
            <v xml:space="preserve">      </v>
          </cell>
          <cell r="F2569" t="str">
            <v>16.3.2.</v>
          </cell>
          <cell r="G2569" t="str">
            <v xml:space="preserve">Equipamentos  </v>
          </cell>
          <cell r="H2569" t="str">
            <v xml:space="preserve">      </v>
          </cell>
          <cell r="I2569">
            <v>0</v>
          </cell>
          <cell r="J2569">
            <v>0</v>
          </cell>
          <cell r="K2569">
            <v>0</v>
          </cell>
          <cell r="L2569">
            <v>0</v>
          </cell>
        </row>
        <row r="2570">
          <cell r="D2570" t="str">
            <v xml:space="preserve">  P. 96.            </v>
          </cell>
          <cell r="E2570" t="str">
            <v>CP1228</v>
          </cell>
          <cell r="F2570" t="str">
            <v>16.3.3.</v>
          </cell>
          <cell r="G2570" t="str">
            <v xml:space="preserve">Grupo gerador 37 kVA, 60 Hz, 380 V, acompanhado da unidade de controle (USCA) e acessórios, conforme especificações do memorial descritivo, conforme fabricante Stemac ou similar  </v>
          </cell>
          <cell r="H2570" t="str">
            <v xml:space="preserve">pc    </v>
          </cell>
          <cell r="I2570">
            <v>1</v>
          </cell>
          <cell r="J2570">
            <v>59427.06</v>
          </cell>
          <cell r="K2570">
            <v>49758.86</v>
          </cell>
          <cell r="L2570">
            <v>59427.06</v>
          </cell>
        </row>
        <row r="2571">
          <cell r="D2571" t="str">
            <v xml:space="preserve">  P. 97.            </v>
          </cell>
          <cell r="E2571" t="str">
            <v xml:space="preserve">      </v>
          </cell>
          <cell r="F2571" t="str">
            <v>16.3.4.</v>
          </cell>
          <cell r="G2571" t="str">
            <v xml:space="preserve">Eletroduto  </v>
          </cell>
          <cell r="H2571" t="str">
            <v xml:space="preserve">      </v>
          </cell>
          <cell r="I2571">
            <v>0</v>
          </cell>
          <cell r="J2571">
            <v>0</v>
          </cell>
          <cell r="K2571">
            <v>0</v>
          </cell>
          <cell r="L2571">
            <v>0</v>
          </cell>
        </row>
        <row r="2572">
          <cell r="D2572" t="str">
            <v xml:space="preserve">  P. 98.            </v>
          </cell>
          <cell r="E2572" t="str">
            <v xml:space="preserve">      </v>
          </cell>
          <cell r="F2572" t="str">
            <v>16.3.5.</v>
          </cell>
          <cell r="G2572" t="str">
            <v xml:space="preserve">Eletroduto PVC rígido rosca bsp ABNT 744 classe b NBR 6150 antichama com uma luva  </v>
          </cell>
          <cell r="H2572" t="str">
            <v xml:space="preserve">      </v>
          </cell>
          <cell r="I2572">
            <v>0</v>
          </cell>
          <cell r="J2572">
            <v>0</v>
          </cell>
          <cell r="K2572">
            <v>0</v>
          </cell>
          <cell r="L2572">
            <v>0</v>
          </cell>
        </row>
        <row r="2573">
          <cell r="D2573" t="str">
            <v xml:space="preserve">  P. 99.            </v>
          </cell>
          <cell r="E2573" t="str">
            <v>CP1894</v>
          </cell>
          <cell r="F2573" t="str">
            <v>16.3.6.</v>
          </cell>
          <cell r="G2573" t="str">
            <v xml:space="preserve">Eletroduto PVC rígido rosca bsp ABNT 744 classe b NBR 6150 antichama com uma luva Dn (1) 25 mm  </v>
          </cell>
          <cell r="H2573" t="str">
            <v xml:space="preserve">pc    </v>
          </cell>
          <cell r="I2573">
            <v>3</v>
          </cell>
          <cell r="J2573">
            <v>26.76</v>
          </cell>
          <cell r="K2573">
            <v>27.96</v>
          </cell>
          <cell r="L2573">
            <v>80.28</v>
          </cell>
        </row>
        <row r="2574">
          <cell r="D2574" t="str">
            <v xml:space="preserve">  P.100.            </v>
          </cell>
          <cell r="E2574" t="str">
            <v>CP1703</v>
          </cell>
          <cell r="F2574" t="str">
            <v>16.3.7.</v>
          </cell>
          <cell r="G2574" t="str">
            <v xml:space="preserve">Eletroduto PVC rígido rosca bsp ABNT 744 classe b NBR 6150 antichama com uma luva Dn (2) 50 mm  </v>
          </cell>
          <cell r="H2574" t="str">
            <v xml:space="preserve">pc    </v>
          </cell>
          <cell r="I2574">
            <v>3</v>
          </cell>
          <cell r="J2574">
            <v>40.590000000000003</v>
          </cell>
          <cell r="K2574">
            <v>57.98</v>
          </cell>
          <cell r="L2574">
            <v>121.77</v>
          </cell>
        </row>
        <row r="2575">
          <cell r="D2575" t="str">
            <v xml:space="preserve">  P.101.            </v>
          </cell>
          <cell r="E2575" t="str">
            <v>CP1682</v>
          </cell>
          <cell r="F2575" t="str">
            <v>16.3.8.</v>
          </cell>
          <cell r="G2575" t="str">
            <v xml:space="preserve">Eletroduto PVC rígido rosca bsp ABNT 744 classe b NBR 6150 antichama com uma luva Dn (4) 100 mm  </v>
          </cell>
          <cell r="H2575" t="str">
            <v xml:space="preserve">pc    </v>
          </cell>
          <cell r="I2575">
            <v>4</v>
          </cell>
          <cell r="J2575">
            <v>156.63</v>
          </cell>
          <cell r="K2575">
            <v>223.76</v>
          </cell>
          <cell r="L2575">
            <v>626.52</v>
          </cell>
        </row>
        <row r="2576">
          <cell r="D2576" t="str">
            <v xml:space="preserve">  P.102.            </v>
          </cell>
          <cell r="E2576" t="str">
            <v xml:space="preserve">      </v>
          </cell>
          <cell r="F2576" t="str">
            <v>16.3.9.</v>
          </cell>
          <cell r="G2576" t="str">
            <v xml:space="preserve">Curva eletroduto PVC rígido rosca bsp ABNT eb 744 classe b NBR 6150 antichama 90o  </v>
          </cell>
          <cell r="H2576" t="str">
            <v xml:space="preserve">      </v>
          </cell>
          <cell r="I2576">
            <v>0</v>
          </cell>
          <cell r="J2576">
            <v>0</v>
          </cell>
          <cell r="K2576">
            <v>0</v>
          </cell>
          <cell r="L2576">
            <v>0</v>
          </cell>
        </row>
        <row r="2577">
          <cell r="D2577" t="str">
            <v xml:space="preserve">  P.103.            </v>
          </cell>
          <cell r="E2577" t="str">
            <v>CP2077</v>
          </cell>
          <cell r="F2577" t="str">
            <v>16.3.10.</v>
          </cell>
          <cell r="G2577" t="str">
            <v xml:space="preserve">Curva eletroduto PVC rígido rosca bsp ABNT eb 744 classe b NBR 6150 antichama 90o Dn (1) 25 mm  </v>
          </cell>
          <cell r="H2577" t="str">
            <v xml:space="preserve">pc    </v>
          </cell>
          <cell r="I2577">
            <v>2</v>
          </cell>
          <cell r="J2577">
            <v>7.56</v>
          </cell>
          <cell r="K2577">
            <v>6.34</v>
          </cell>
          <cell r="L2577">
            <v>15.12</v>
          </cell>
        </row>
        <row r="2578">
          <cell r="D2578" t="str">
            <v xml:space="preserve">  P.104.            </v>
          </cell>
          <cell r="E2578" t="str">
            <v>CP1883</v>
          </cell>
          <cell r="F2578" t="str">
            <v>16.3.11.</v>
          </cell>
          <cell r="G2578" t="str">
            <v xml:space="preserve">Curva eletroduto PVC rígido rosca bsp ABNT eb 744 classe b NBR 6150 antichama 90o Dn (2) 50 mm  </v>
          </cell>
          <cell r="H2578" t="str">
            <v xml:space="preserve">pc    </v>
          </cell>
          <cell r="I2578">
            <v>2</v>
          </cell>
          <cell r="J2578">
            <v>16.18</v>
          </cell>
          <cell r="K2578">
            <v>14.8</v>
          </cell>
          <cell r="L2578">
            <v>32.36</v>
          </cell>
        </row>
        <row r="2579">
          <cell r="D2579" t="str">
            <v xml:space="preserve">  P.105.            </v>
          </cell>
          <cell r="E2579" t="str">
            <v>CP1803</v>
          </cell>
          <cell r="F2579" t="str">
            <v>16.3.12.</v>
          </cell>
          <cell r="G2579" t="str">
            <v xml:space="preserve">Curva eletroduto PVC rígido rosca bsp ABNT eb 744 classe b NBR 6150 antichama 90o Dn (4) 100 mm  </v>
          </cell>
          <cell r="H2579" t="str">
            <v xml:space="preserve">pc    </v>
          </cell>
          <cell r="I2579">
            <v>2</v>
          </cell>
          <cell r="J2579">
            <v>60.35</v>
          </cell>
          <cell r="K2579">
            <v>50.5</v>
          </cell>
          <cell r="L2579">
            <v>120.7</v>
          </cell>
        </row>
        <row r="2580">
          <cell r="D2580" t="str">
            <v xml:space="preserve">  P.106.            </v>
          </cell>
          <cell r="E2580" t="str">
            <v>CP1970</v>
          </cell>
          <cell r="F2580" t="str">
            <v>16.3.13.</v>
          </cell>
          <cell r="G2580" t="str">
            <v xml:space="preserve">Eletroduto aço carbono com costura ABNT NBR 5624 pesado classe i, zincado, com uma luva, parede de espessura 3,75 mm, comp. de 3000 mm Dn (3/4) 20 mm  </v>
          </cell>
          <cell r="H2580" t="str">
            <v xml:space="preserve">m     </v>
          </cell>
          <cell r="I2580">
            <v>12</v>
          </cell>
          <cell r="J2580">
            <v>11.9</v>
          </cell>
          <cell r="K2580">
            <v>9.9600000000000009</v>
          </cell>
          <cell r="L2580">
            <v>142.80000000000001</v>
          </cell>
        </row>
        <row r="2581">
          <cell r="D2581" t="str">
            <v xml:space="preserve">  P.107.            </v>
          </cell>
          <cell r="E2581" t="str">
            <v xml:space="preserve">      </v>
          </cell>
          <cell r="F2581" t="str">
            <v>16.3.14.</v>
          </cell>
          <cell r="G2581" t="str">
            <v xml:space="preserve">Eletroduto flexível impermeável  </v>
          </cell>
          <cell r="H2581" t="str">
            <v xml:space="preserve">      </v>
          </cell>
          <cell r="I2581">
            <v>0</v>
          </cell>
          <cell r="J2581">
            <v>0</v>
          </cell>
          <cell r="K2581">
            <v>0</v>
          </cell>
          <cell r="L2581">
            <v>0</v>
          </cell>
        </row>
        <row r="2582">
          <cell r="D2582" t="str">
            <v xml:space="preserve">  P.108.            </v>
          </cell>
          <cell r="E2582" t="str">
            <v>CP1984</v>
          </cell>
          <cell r="F2582" t="str">
            <v>16.3.15.</v>
          </cell>
          <cell r="G2582" t="str">
            <v xml:space="preserve">Eletroduto flexível impermeável Dn (1) 25 mm  </v>
          </cell>
          <cell r="H2582" t="str">
            <v xml:space="preserve">m     </v>
          </cell>
          <cell r="I2582">
            <v>1</v>
          </cell>
          <cell r="J2582">
            <v>13.58</v>
          </cell>
          <cell r="K2582">
            <v>11.32</v>
          </cell>
          <cell r="L2582">
            <v>13.58</v>
          </cell>
        </row>
        <row r="2583">
          <cell r="D2583" t="str">
            <v xml:space="preserve">  P.109.            </v>
          </cell>
          <cell r="E2583" t="str">
            <v>CP1848</v>
          </cell>
          <cell r="F2583" t="str">
            <v>16.3.16.</v>
          </cell>
          <cell r="G2583" t="str">
            <v xml:space="preserve">Eletroduto flexível impermeável Dn (2) 50 mm  </v>
          </cell>
          <cell r="H2583" t="str">
            <v xml:space="preserve">m     </v>
          </cell>
          <cell r="I2583">
            <v>1</v>
          </cell>
          <cell r="J2583">
            <v>25.97</v>
          </cell>
          <cell r="K2583">
            <v>21.67</v>
          </cell>
          <cell r="L2583">
            <v>25.97</v>
          </cell>
        </row>
        <row r="2584">
          <cell r="D2584" t="str">
            <v xml:space="preserve">  P.110.            </v>
          </cell>
          <cell r="E2584" t="str">
            <v xml:space="preserve">      </v>
          </cell>
          <cell r="F2584" t="str">
            <v>16.3.17.</v>
          </cell>
          <cell r="G2584" t="str">
            <v xml:space="preserve">Bucha e arruela ferro galvanizado  </v>
          </cell>
          <cell r="H2584" t="str">
            <v xml:space="preserve">      </v>
          </cell>
          <cell r="I2584">
            <v>0</v>
          </cell>
          <cell r="J2584">
            <v>0</v>
          </cell>
          <cell r="K2584">
            <v>0</v>
          </cell>
          <cell r="L2584">
            <v>0</v>
          </cell>
        </row>
        <row r="2585">
          <cell r="D2585" t="str">
            <v xml:space="preserve">  P.111.            </v>
          </cell>
          <cell r="E2585" t="str">
            <v>CP2311</v>
          </cell>
          <cell r="F2585" t="str">
            <v>16.3.18.</v>
          </cell>
          <cell r="G2585" t="str">
            <v xml:space="preserve">Bucha e arruela ferro galvanizado Dn (3/4) 20 mm  </v>
          </cell>
          <cell r="H2585" t="str">
            <v xml:space="preserve">pc    </v>
          </cell>
          <cell r="I2585">
            <v>6</v>
          </cell>
          <cell r="J2585">
            <v>1.03</v>
          </cell>
          <cell r="K2585">
            <v>1.32</v>
          </cell>
          <cell r="L2585">
            <v>6.18</v>
          </cell>
        </row>
        <row r="2586">
          <cell r="D2586" t="str">
            <v xml:space="preserve">  P.112.            </v>
          </cell>
          <cell r="E2586" t="str">
            <v xml:space="preserve">      </v>
          </cell>
          <cell r="F2586" t="str">
            <v>16.3.19.</v>
          </cell>
          <cell r="G2586" t="str">
            <v xml:space="preserve">Braçadeira tipo d  </v>
          </cell>
          <cell r="H2586" t="str">
            <v xml:space="preserve">      </v>
          </cell>
          <cell r="I2586">
            <v>0</v>
          </cell>
          <cell r="J2586">
            <v>0</v>
          </cell>
          <cell r="K2586">
            <v>0</v>
          </cell>
          <cell r="L2586">
            <v>0</v>
          </cell>
        </row>
        <row r="2587">
          <cell r="D2587" t="str">
            <v xml:space="preserve">  P.113.            </v>
          </cell>
          <cell r="E2587" t="str">
            <v>CP2297</v>
          </cell>
          <cell r="F2587" t="str">
            <v>16.3.20.</v>
          </cell>
          <cell r="G2587" t="str">
            <v xml:space="preserve">Braçadeira tipo d Dn (3/4) 20 mm  </v>
          </cell>
          <cell r="H2587" t="str">
            <v xml:space="preserve">pc    </v>
          </cell>
          <cell r="I2587">
            <v>4</v>
          </cell>
          <cell r="J2587">
            <v>5.17</v>
          </cell>
          <cell r="K2587">
            <v>7.38</v>
          </cell>
          <cell r="L2587">
            <v>20.68</v>
          </cell>
        </row>
        <row r="2588">
          <cell r="D2588" t="str">
            <v xml:space="preserve">  P.114.            </v>
          </cell>
          <cell r="E2588" t="str">
            <v xml:space="preserve">      </v>
          </cell>
          <cell r="F2588" t="str">
            <v>16.3.21.</v>
          </cell>
          <cell r="G2588" t="str">
            <v xml:space="preserve">Cabos e acessórios  </v>
          </cell>
          <cell r="H2588" t="str">
            <v xml:space="preserve">      </v>
          </cell>
          <cell r="I2588">
            <v>0</v>
          </cell>
          <cell r="J2588">
            <v>0</v>
          </cell>
          <cell r="K2588">
            <v>0</v>
          </cell>
          <cell r="L2588">
            <v>0</v>
          </cell>
        </row>
        <row r="2589">
          <cell r="D2589" t="str">
            <v xml:space="preserve">  P.115.            </v>
          </cell>
          <cell r="E2589" t="str">
            <v>CP2299</v>
          </cell>
          <cell r="F2589" t="str">
            <v>16.3.22.</v>
          </cell>
          <cell r="G2589" t="str">
            <v xml:space="preserve">Cabo cobre, tempera mole, PVC, 70oc, 0,45/0.7kV NBR-6880, NBR-6148 #2,5mm  </v>
          </cell>
          <cell r="H2589" t="str">
            <v xml:space="preserve">m     </v>
          </cell>
          <cell r="I2589">
            <v>30</v>
          </cell>
          <cell r="J2589">
            <v>2.79</v>
          </cell>
          <cell r="K2589">
            <v>2.37</v>
          </cell>
          <cell r="L2589">
            <v>83.7</v>
          </cell>
        </row>
        <row r="2590">
          <cell r="D2590" t="str">
            <v xml:space="preserve">  P.116.            </v>
          </cell>
          <cell r="E2590" t="str">
            <v>CP5037</v>
          </cell>
          <cell r="F2590" t="str">
            <v>16.3.23.</v>
          </cell>
          <cell r="G2590" t="str">
            <v xml:space="preserve">Cabo cobre, tempera mole, EPR, 90oc, 0,6/1kV Pirelli Afumex ou equivalente #50mm  </v>
          </cell>
          <cell r="H2590" t="str">
            <v xml:space="preserve">m     </v>
          </cell>
          <cell r="I2590">
            <v>30</v>
          </cell>
          <cell r="J2590">
            <v>25.56</v>
          </cell>
          <cell r="K2590">
            <v>24.98</v>
          </cell>
          <cell r="L2590">
            <v>766.8</v>
          </cell>
        </row>
        <row r="2591">
          <cell r="D2591" t="str">
            <v xml:space="preserve">  P.117.            </v>
          </cell>
          <cell r="E2591" t="str">
            <v>CP2233</v>
          </cell>
          <cell r="F2591" t="str">
            <v>16.3.24.</v>
          </cell>
          <cell r="G2591" t="str">
            <v xml:space="preserve">Terminal em cobre #50mm  </v>
          </cell>
          <cell r="H2591" t="str">
            <v xml:space="preserve">pc    </v>
          </cell>
          <cell r="I2591">
            <v>8</v>
          </cell>
          <cell r="J2591">
            <v>9.33</v>
          </cell>
          <cell r="K2591">
            <v>9.25</v>
          </cell>
          <cell r="L2591">
            <v>74.64</v>
          </cell>
        </row>
        <row r="2592">
          <cell r="D2592" t="str">
            <v xml:space="preserve">  P.118.            </v>
          </cell>
          <cell r="E2592" t="str">
            <v xml:space="preserve">      </v>
          </cell>
          <cell r="F2592" t="str">
            <v>16.3.25.</v>
          </cell>
          <cell r="G2592" t="str">
            <v xml:space="preserve">Conduletes  </v>
          </cell>
          <cell r="H2592" t="str">
            <v xml:space="preserve">      </v>
          </cell>
          <cell r="I2592">
            <v>0</v>
          </cell>
          <cell r="J2592">
            <v>0</v>
          </cell>
          <cell r="K2592">
            <v>0</v>
          </cell>
          <cell r="L2592">
            <v>0</v>
          </cell>
        </row>
        <row r="2593">
          <cell r="D2593" t="str">
            <v xml:space="preserve">  P.119.            </v>
          </cell>
          <cell r="E2593" t="str">
            <v>CP1952</v>
          </cell>
          <cell r="F2593" t="str">
            <v>16.3.26.</v>
          </cell>
          <cell r="G2593" t="str">
            <v xml:space="preserve">Condulete em liga de alumínio fundido a prova de tempo, umidade, gases, vapores e pó - com Junta de vedação em neoprene rosca bsb (gás) conforme norma ANSI b-2.1 Ø (3/4) 20 mm  </v>
          </cell>
          <cell r="H2593" t="str">
            <v xml:space="preserve">pc    </v>
          </cell>
          <cell r="I2593">
            <v>5</v>
          </cell>
          <cell r="J2593">
            <v>17.41</v>
          </cell>
          <cell r="K2593">
            <v>14.51</v>
          </cell>
          <cell r="L2593">
            <v>87.05</v>
          </cell>
        </row>
        <row r="2594">
          <cell r="D2594" t="str">
            <v xml:space="preserve">  P.120.            </v>
          </cell>
          <cell r="E2594" t="str">
            <v>CP1910</v>
          </cell>
          <cell r="F2594" t="str">
            <v>16.3.27.</v>
          </cell>
          <cell r="G2594" t="str">
            <v xml:space="preserve">Interruptor em condulete 20 mm Tipo simples 01 tecla  </v>
          </cell>
          <cell r="H2594" t="str">
            <v xml:space="preserve">pc    </v>
          </cell>
          <cell r="I2594">
            <v>1</v>
          </cell>
          <cell r="J2594">
            <v>24.08</v>
          </cell>
          <cell r="K2594">
            <v>20.2</v>
          </cell>
          <cell r="L2594">
            <v>24.08</v>
          </cell>
        </row>
        <row r="2595">
          <cell r="D2595" t="str">
            <v xml:space="preserve">  P.121.            </v>
          </cell>
          <cell r="E2595" t="str">
            <v>CP1857</v>
          </cell>
          <cell r="F2595" t="str">
            <v>16.3.28.</v>
          </cell>
          <cell r="G2595" t="str">
            <v xml:space="preserve">Tomadas em condulete 20 mm Tipo 2p+t (pino redondo, tipo universal)  </v>
          </cell>
          <cell r="H2595" t="str">
            <v xml:space="preserve">pc    </v>
          </cell>
          <cell r="I2595">
            <v>12</v>
          </cell>
          <cell r="J2595">
            <v>17.559999999999999</v>
          </cell>
          <cell r="K2595">
            <v>14.75</v>
          </cell>
          <cell r="L2595">
            <v>210.72</v>
          </cell>
        </row>
        <row r="2596">
          <cell r="D2596" t="str">
            <v xml:space="preserve">  P.122.            </v>
          </cell>
          <cell r="E2596" t="str">
            <v xml:space="preserve">      </v>
          </cell>
          <cell r="F2596" t="str">
            <v>16.3.29.</v>
          </cell>
          <cell r="G2596" t="str">
            <v xml:space="preserve">Luminárias  </v>
          </cell>
          <cell r="H2596" t="str">
            <v xml:space="preserve">      </v>
          </cell>
          <cell r="I2596">
            <v>0</v>
          </cell>
          <cell r="J2596">
            <v>0</v>
          </cell>
          <cell r="K2596">
            <v>0</v>
          </cell>
          <cell r="L2596">
            <v>0</v>
          </cell>
        </row>
        <row r="2597">
          <cell r="D2597" t="str">
            <v xml:space="preserve">  P.123.            </v>
          </cell>
          <cell r="E2597" t="str">
            <v>CP1764</v>
          </cell>
          <cell r="F2597" t="str">
            <v>16.3.30.</v>
          </cell>
          <cell r="G2597" t="str">
            <v xml:space="preserve">Luminária para lâmpada incadescente 1x60W, de sobrepor, corpo em chapa de aço tratada e pintura eletrostática branca. Refletor em chapa de alumínio anodizado brilhante, mod. XP 618 Xoulux ou similar  </v>
          </cell>
          <cell r="H2597" t="str">
            <v xml:space="preserve">pc    </v>
          </cell>
          <cell r="I2597">
            <v>1</v>
          </cell>
          <cell r="J2597">
            <v>119.51</v>
          </cell>
          <cell r="K2597">
            <v>148.5</v>
          </cell>
          <cell r="L2597">
            <v>119.51</v>
          </cell>
        </row>
        <row r="2598">
          <cell r="D2598" t="str">
            <v xml:space="preserve">  P.124.            </v>
          </cell>
          <cell r="E2598" t="str">
            <v xml:space="preserve">      </v>
          </cell>
          <cell r="F2598" t="str">
            <v>16.3.31.</v>
          </cell>
          <cell r="G2598" t="str">
            <v xml:space="preserve">Serviço  </v>
          </cell>
          <cell r="H2598" t="str">
            <v xml:space="preserve">      </v>
          </cell>
          <cell r="I2598">
            <v>0</v>
          </cell>
          <cell r="J2598">
            <v>0</v>
          </cell>
          <cell r="K2598">
            <v>0</v>
          </cell>
          <cell r="L2598">
            <v>0</v>
          </cell>
        </row>
        <row r="2599">
          <cell r="D2599" t="str">
            <v xml:space="preserve">  P.125.            </v>
          </cell>
          <cell r="E2599" t="str">
            <v>CP1369</v>
          </cell>
          <cell r="F2599" t="str">
            <v>16.3.32.</v>
          </cell>
          <cell r="G2599" t="str">
            <v xml:space="preserve">Execução de abrigo para o gerador tam. 5,00x500x2,80m, compreendendo exaustão, execução de base em concreto, etc, de modo a atender a todas recomendações do fabricante do equipamento  </v>
          </cell>
          <cell r="H2599" t="str">
            <v xml:space="preserve">un    </v>
          </cell>
          <cell r="I2599">
            <v>1</v>
          </cell>
          <cell r="J2599">
            <v>5141.95</v>
          </cell>
          <cell r="K2599">
            <v>6389.21</v>
          </cell>
          <cell r="L2599">
            <v>5141.95</v>
          </cell>
        </row>
        <row r="2600">
          <cell r="D2600" t="str">
            <v xml:space="preserve">  P.126.            </v>
          </cell>
          <cell r="E2600" t="str">
            <v xml:space="preserve">      </v>
          </cell>
          <cell r="F2600" t="str">
            <v>16.4.</v>
          </cell>
          <cell r="G2600" t="str">
            <v xml:space="preserve">Iluminação Externa  </v>
          </cell>
          <cell r="H2600" t="str">
            <v xml:space="preserve">      </v>
          </cell>
          <cell r="I2600">
            <v>0</v>
          </cell>
          <cell r="J2600">
            <v>0</v>
          </cell>
          <cell r="K2600">
            <v>0</v>
          </cell>
          <cell r="L2600">
            <v>0</v>
          </cell>
        </row>
        <row r="2601">
          <cell r="D2601" t="str">
            <v xml:space="preserve">  P.127.            </v>
          </cell>
          <cell r="E2601" t="str">
            <v xml:space="preserve">      </v>
          </cell>
          <cell r="F2601" t="str">
            <v>16.4.1.</v>
          </cell>
          <cell r="G2601" t="str">
            <v xml:space="preserve">Fornecimento e instalação  </v>
          </cell>
          <cell r="H2601" t="str">
            <v xml:space="preserve">      </v>
          </cell>
          <cell r="I2601">
            <v>0</v>
          </cell>
          <cell r="J2601">
            <v>0</v>
          </cell>
          <cell r="K2601">
            <v>0</v>
          </cell>
          <cell r="L2601">
            <v>0</v>
          </cell>
        </row>
        <row r="2602">
          <cell r="D2602" t="str">
            <v xml:space="preserve">  P.128.            </v>
          </cell>
          <cell r="E2602" t="str">
            <v xml:space="preserve">      </v>
          </cell>
          <cell r="F2602" t="str">
            <v>16.4.2.</v>
          </cell>
          <cell r="G2602" t="str">
            <v xml:space="preserve">Eletrodutos  </v>
          </cell>
          <cell r="H2602" t="str">
            <v xml:space="preserve">      </v>
          </cell>
          <cell r="I2602">
            <v>0</v>
          </cell>
          <cell r="J2602">
            <v>0</v>
          </cell>
          <cell r="K2602">
            <v>0</v>
          </cell>
          <cell r="L2602">
            <v>0</v>
          </cell>
        </row>
        <row r="2603">
          <cell r="D2603" t="str">
            <v xml:space="preserve">  P.129.            </v>
          </cell>
          <cell r="E2603" t="str">
            <v>CP1703</v>
          </cell>
          <cell r="F2603" t="str">
            <v>16.4.3.</v>
          </cell>
          <cell r="G2603" t="str">
            <v xml:space="preserve">Eletroduto PVC rígido rosca bsp ABNT 744 classe b NBR 6150 antichama com uma luva Dn (2) 50 mm  </v>
          </cell>
          <cell r="H2603" t="str">
            <v xml:space="preserve">pc    </v>
          </cell>
          <cell r="I2603">
            <v>354</v>
          </cell>
          <cell r="J2603">
            <v>40.590000000000003</v>
          </cell>
          <cell r="K2603">
            <v>57.98</v>
          </cell>
          <cell r="L2603">
            <v>14368.86</v>
          </cell>
        </row>
        <row r="2604">
          <cell r="D2604" t="str">
            <v xml:space="preserve">  P.130.            </v>
          </cell>
          <cell r="E2604" t="str">
            <v>CP2149</v>
          </cell>
          <cell r="F2604" t="str">
            <v>16.4.4.</v>
          </cell>
          <cell r="G2604" t="str">
            <v xml:space="preserve">Cabo formado de fios de cobre nú, têmpera mole, encordoamento classe 2, isolamento PVC para 1 kV, capa externa em  PVC, fornecido nas seguintes configurações: 1 x 2 c# 6,0  </v>
          </cell>
          <cell r="H2604" t="str">
            <v xml:space="preserve">m     </v>
          </cell>
          <cell r="I2604">
            <v>3280</v>
          </cell>
          <cell r="J2604">
            <v>9.86</v>
          </cell>
          <cell r="K2604">
            <v>8.2799999999999994</v>
          </cell>
          <cell r="L2604">
            <v>32340.799999999999</v>
          </cell>
        </row>
        <row r="2605">
          <cell r="D2605" t="str">
            <v xml:space="preserve">  P.131.            </v>
          </cell>
          <cell r="E2605" t="str">
            <v xml:space="preserve">      </v>
          </cell>
          <cell r="F2605" t="str">
            <v>16.4.5.</v>
          </cell>
          <cell r="G2605" t="str">
            <v xml:space="preserve">Luminárias  </v>
          </cell>
          <cell r="H2605" t="str">
            <v xml:space="preserve">      </v>
          </cell>
          <cell r="I2605">
            <v>0</v>
          </cell>
          <cell r="J2605">
            <v>0</v>
          </cell>
          <cell r="K2605">
            <v>0</v>
          </cell>
          <cell r="L2605">
            <v>0</v>
          </cell>
        </row>
        <row r="2606">
          <cell r="D2606" t="str">
            <v xml:space="preserve">  P.132.            </v>
          </cell>
          <cell r="E2606" t="str">
            <v>CP1587</v>
          </cell>
          <cell r="F2606" t="str">
            <v>16.4.6.</v>
          </cell>
          <cell r="G2606" t="str">
            <v>Luminária 1X150W, vapor de sódio, tipo refletor, corpo em chapa de aço tratada e pintura eletrostática branca. Refletor em chapa de alumínio anodizado brilhante, de alta pureza e reator de alto fator de potência, alojado em abrigo metálico junto a luminár</v>
          </cell>
          <cell r="H2606" t="str">
            <v xml:space="preserve">un    </v>
          </cell>
          <cell r="I2606">
            <v>53</v>
          </cell>
          <cell r="J2606">
            <v>454.35</v>
          </cell>
          <cell r="K2606">
            <v>379.19</v>
          </cell>
          <cell r="L2606">
            <v>24080.55</v>
          </cell>
        </row>
        <row r="2607">
          <cell r="D2607" t="str">
            <v xml:space="preserve">  P.133.            </v>
          </cell>
          <cell r="E2607" t="str">
            <v>CP1583</v>
          </cell>
          <cell r="F2607" t="str">
            <v>16.4.7.</v>
          </cell>
          <cell r="G2607" t="str">
            <v xml:space="preserve">Poste telecônico, curvo, fabricação em aço galvanizado a fogo, diâmetro 63mm, flangeado, com 4 chumbadores, altura útil 7 m  </v>
          </cell>
          <cell r="H2607" t="str">
            <v xml:space="preserve">un    </v>
          </cell>
          <cell r="I2607">
            <v>46</v>
          </cell>
          <cell r="J2607">
            <v>1278.01</v>
          </cell>
          <cell r="K2607">
            <v>1071.53</v>
          </cell>
          <cell r="L2607">
            <v>58788.46</v>
          </cell>
        </row>
        <row r="2608">
          <cell r="D2608" t="str">
            <v xml:space="preserve">  P.134.            </v>
          </cell>
          <cell r="E2608" t="str">
            <v>CP1854</v>
          </cell>
          <cell r="F2608" t="str">
            <v>16.4.8.</v>
          </cell>
          <cell r="G2608" t="str">
            <v xml:space="preserve">Relé fotoelétrico magnético, 1200VA, 220V, fornecido com base para fixação em parede.  </v>
          </cell>
          <cell r="H2608" t="str">
            <v xml:space="preserve">pç    </v>
          </cell>
          <cell r="I2608">
            <v>9</v>
          </cell>
          <cell r="J2608">
            <v>43.94</v>
          </cell>
          <cell r="K2608">
            <v>36.840000000000003</v>
          </cell>
          <cell r="L2608">
            <v>395.46</v>
          </cell>
        </row>
        <row r="2609">
          <cell r="D2609" t="str">
            <v xml:space="preserve">  P.135.            </v>
          </cell>
          <cell r="E2609" t="str">
            <v>CP2066</v>
          </cell>
          <cell r="F2609" t="str">
            <v>16.4.9.</v>
          </cell>
          <cell r="G2609" t="str">
            <v xml:space="preserve">Chumbador p/ fixação de poste, fabricado em vergalhão de 1/2 polegada, comprimento de 220mm, fornecido com porca sextavada e arruela.  </v>
          </cell>
          <cell r="H2609" t="str">
            <v xml:space="preserve">pç    </v>
          </cell>
          <cell r="I2609">
            <v>184</v>
          </cell>
          <cell r="J2609">
            <v>29.46</v>
          </cell>
          <cell r="K2609">
            <v>24.59</v>
          </cell>
          <cell r="L2609">
            <v>5420.64</v>
          </cell>
        </row>
        <row r="2610">
          <cell r="D2610" t="str">
            <v xml:space="preserve">  P.136.            </v>
          </cell>
          <cell r="E2610" t="str">
            <v>CP1784</v>
          </cell>
          <cell r="F2610" t="str">
            <v>16.4.10.</v>
          </cell>
          <cell r="G2610" t="str">
            <v xml:space="preserve">Caixa de passagem pré fabricada, 300x300x300 mm, tampão FFT16  </v>
          </cell>
          <cell r="H2610" t="str">
            <v xml:space="preserve">pc    </v>
          </cell>
          <cell r="I2610">
            <v>54</v>
          </cell>
          <cell r="J2610">
            <v>190.17</v>
          </cell>
          <cell r="K2610">
            <v>271.67</v>
          </cell>
          <cell r="L2610">
            <v>10269.18</v>
          </cell>
        </row>
        <row r="2611">
          <cell r="D2611" t="str">
            <v xml:space="preserve">  P.137.            </v>
          </cell>
          <cell r="E2611" t="str">
            <v xml:space="preserve">      </v>
          </cell>
          <cell r="F2611" t="str">
            <v>16.4.11.</v>
          </cell>
          <cell r="G2611" t="str">
            <v xml:space="preserve">Serviço  </v>
          </cell>
          <cell r="H2611" t="str">
            <v xml:space="preserve">      </v>
          </cell>
          <cell r="I2611">
            <v>0</v>
          </cell>
          <cell r="J2611">
            <v>0</v>
          </cell>
          <cell r="K2611">
            <v>0</v>
          </cell>
          <cell r="L2611">
            <v>0</v>
          </cell>
        </row>
        <row r="2612">
          <cell r="D2612" t="str">
            <v xml:space="preserve">  P.138.            </v>
          </cell>
          <cell r="E2612" t="str">
            <v>CP2036</v>
          </cell>
          <cell r="F2612" t="str">
            <v>16.4.12.</v>
          </cell>
          <cell r="G2612" t="str">
            <v xml:space="preserve">Abertura e recobrimento de vala 600X600 mm  </v>
          </cell>
          <cell r="H2612" t="str">
            <v xml:space="preserve">m     </v>
          </cell>
          <cell r="I2612">
            <v>1060</v>
          </cell>
          <cell r="J2612">
            <v>7.99</v>
          </cell>
          <cell r="K2612">
            <v>6.68</v>
          </cell>
          <cell r="L2612">
            <v>8469.4</v>
          </cell>
        </row>
        <row r="2613">
          <cell r="D2613" t="str">
            <v xml:space="preserve">  P.139.            </v>
          </cell>
          <cell r="E2613" t="str">
            <v xml:space="preserve">      </v>
          </cell>
          <cell r="F2613" t="str">
            <v>16.5.</v>
          </cell>
          <cell r="G2613" t="str">
            <v xml:space="preserve">Sistema de Aterramento  </v>
          </cell>
          <cell r="H2613" t="str">
            <v xml:space="preserve">      </v>
          </cell>
          <cell r="I2613">
            <v>0</v>
          </cell>
          <cell r="J2613">
            <v>0</v>
          </cell>
          <cell r="K2613">
            <v>0</v>
          </cell>
          <cell r="L2613">
            <v>0</v>
          </cell>
        </row>
        <row r="2614">
          <cell r="D2614" t="str">
            <v xml:space="preserve">  P.140.            </v>
          </cell>
          <cell r="E2614" t="str">
            <v xml:space="preserve">      </v>
          </cell>
          <cell r="F2614" t="str">
            <v>16.5.1.</v>
          </cell>
          <cell r="G2614" t="str">
            <v xml:space="preserve">Fornecimento e instalação  </v>
          </cell>
          <cell r="H2614" t="str">
            <v xml:space="preserve">      </v>
          </cell>
          <cell r="I2614">
            <v>0</v>
          </cell>
          <cell r="J2614">
            <v>0</v>
          </cell>
          <cell r="K2614">
            <v>0</v>
          </cell>
          <cell r="L2614">
            <v>0</v>
          </cell>
        </row>
        <row r="2615">
          <cell r="D2615" t="str">
            <v xml:space="preserve">  P.141.            </v>
          </cell>
          <cell r="E2615" t="str">
            <v xml:space="preserve">      </v>
          </cell>
          <cell r="F2615" t="str">
            <v>16.5.2.</v>
          </cell>
          <cell r="G2615" t="str">
            <v xml:space="preserve">Condutor formado de fios de cobre nu, têmpera meio dura, encordoamento classe 2, na bitola de:  </v>
          </cell>
          <cell r="H2615" t="str">
            <v xml:space="preserve">      </v>
          </cell>
          <cell r="I2615">
            <v>0</v>
          </cell>
          <cell r="J2615">
            <v>0</v>
          </cell>
          <cell r="K2615">
            <v>0</v>
          </cell>
          <cell r="L2615">
            <v>0</v>
          </cell>
        </row>
        <row r="2616">
          <cell r="D2616" t="str">
            <v xml:space="preserve">  P.142.            </v>
          </cell>
          <cell r="E2616" t="str">
            <v>CP2007</v>
          </cell>
          <cell r="F2616" t="str">
            <v>16.5.3.</v>
          </cell>
          <cell r="G2616" t="str">
            <v xml:space="preserve">Condutor formado de fios de cobre nu, têmpera meio dura, encordoamento classe 2, na bitola de: #50 mm2  </v>
          </cell>
          <cell r="H2616" t="str">
            <v xml:space="preserve">m     </v>
          </cell>
          <cell r="I2616">
            <v>1310</v>
          </cell>
          <cell r="J2616">
            <v>23.68</v>
          </cell>
          <cell r="K2616">
            <v>28.03</v>
          </cell>
          <cell r="L2616">
            <v>31020.799999999999</v>
          </cell>
        </row>
        <row r="2617">
          <cell r="D2617" t="str">
            <v xml:space="preserve">  P.143.            </v>
          </cell>
          <cell r="E2617" t="str">
            <v>CP2061</v>
          </cell>
          <cell r="F2617" t="str">
            <v>16.5.4.</v>
          </cell>
          <cell r="G2617" t="str">
            <v xml:space="preserve">Condutor formado de fios de cobre nu, têmpera meio dura, encordoamento classe 2, na bitola de: #35 mm2  </v>
          </cell>
          <cell r="H2617" t="str">
            <v xml:space="preserve">m     </v>
          </cell>
          <cell r="I2617">
            <v>725</v>
          </cell>
          <cell r="J2617">
            <v>16.510000000000002</v>
          </cell>
          <cell r="K2617">
            <v>19.54</v>
          </cell>
          <cell r="L2617">
            <v>11969.75</v>
          </cell>
        </row>
        <row r="2618">
          <cell r="D2618" t="str">
            <v xml:space="preserve">  P.144.            </v>
          </cell>
          <cell r="E2618" t="str">
            <v>CP1856</v>
          </cell>
          <cell r="F2618" t="str">
            <v>16.5.5.</v>
          </cell>
          <cell r="G2618" t="str">
            <v xml:space="preserve">Haste p/ aterramento, fabricada c/ núcleo de aço SAE-1045, revestido c/ espessa camada de cobre eletrolitico e com diâmetro de 3/4x3000mm de comprimento.  </v>
          </cell>
          <cell r="H2618" t="str">
            <v xml:space="preserve">pç    </v>
          </cell>
          <cell r="I2618">
            <v>79</v>
          </cell>
          <cell r="J2618">
            <v>112.7</v>
          </cell>
          <cell r="K2618">
            <v>94.12</v>
          </cell>
          <cell r="L2618">
            <v>8903.2999999999993</v>
          </cell>
        </row>
        <row r="2619">
          <cell r="D2619" t="str">
            <v xml:space="preserve">  P.145.            </v>
          </cell>
          <cell r="E2619" t="str">
            <v>CP1641</v>
          </cell>
          <cell r="F2619" t="str">
            <v>16.5.6.</v>
          </cell>
          <cell r="G2619" t="str">
            <v xml:space="preserve">Molde para conexão exotérmica entre cabos de seção 50mm2  </v>
          </cell>
          <cell r="H2619" t="str">
            <v xml:space="preserve">cj    </v>
          </cell>
          <cell r="I2619">
            <v>15</v>
          </cell>
          <cell r="J2619">
            <v>195.11</v>
          </cell>
          <cell r="K2619">
            <v>257.62</v>
          </cell>
          <cell r="L2619">
            <v>2926.65</v>
          </cell>
        </row>
        <row r="2620">
          <cell r="D2620" t="str">
            <v xml:space="preserve">  P.146.            </v>
          </cell>
          <cell r="E2620" t="str">
            <v>CP2099</v>
          </cell>
          <cell r="F2620" t="str">
            <v>16.5.7.</v>
          </cell>
          <cell r="G2620" t="str">
            <v xml:space="preserve">Cartucho com pó de solda para conexões exotérmicas  </v>
          </cell>
          <cell r="H2620" t="str">
            <v xml:space="preserve">pç    </v>
          </cell>
          <cell r="I2620">
            <v>79</v>
          </cell>
          <cell r="J2620">
            <v>16.75</v>
          </cell>
          <cell r="K2620">
            <v>14</v>
          </cell>
          <cell r="L2620">
            <v>1323.25</v>
          </cell>
        </row>
        <row r="2621">
          <cell r="D2621" t="str">
            <v xml:space="preserve">  P.147.            </v>
          </cell>
          <cell r="E2621" t="str">
            <v>CP1729</v>
          </cell>
          <cell r="F2621" t="str">
            <v>16.5.8.</v>
          </cell>
          <cell r="G2621" t="str">
            <v xml:space="preserve">Alicate para fixação de moldes  </v>
          </cell>
          <cell r="H2621" t="str">
            <v xml:space="preserve">pç    </v>
          </cell>
          <cell r="I2621">
            <v>1</v>
          </cell>
          <cell r="J2621">
            <v>131.38999999999999</v>
          </cell>
          <cell r="K2621">
            <v>129.57</v>
          </cell>
          <cell r="L2621">
            <v>131.38999999999999</v>
          </cell>
        </row>
        <row r="2622">
          <cell r="D2622" t="str">
            <v xml:space="preserve">  P.148.            </v>
          </cell>
          <cell r="E2622" t="str">
            <v>CP1847</v>
          </cell>
          <cell r="F2622" t="str">
            <v>16.5.9.</v>
          </cell>
          <cell r="G2622" t="str">
            <v xml:space="preserve">Acendedor para início de detonação  </v>
          </cell>
          <cell r="H2622" t="str">
            <v xml:space="preserve">pç    </v>
          </cell>
          <cell r="I2622">
            <v>79</v>
          </cell>
          <cell r="J2622">
            <v>15.51</v>
          </cell>
          <cell r="K2622">
            <v>12.93</v>
          </cell>
          <cell r="L2622">
            <v>1225.29</v>
          </cell>
        </row>
        <row r="2623">
          <cell r="D2623" t="str">
            <v xml:space="preserve">  P.149.            </v>
          </cell>
          <cell r="E2623" t="str">
            <v>CP1939</v>
          </cell>
          <cell r="F2623" t="str">
            <v>16.5.10.</v>
          </cell>
          <cell r="G2623" t="str">
            <v xml:space="preserve">Escova de aço p/ remoção de óxido de cobre dos cabos  </v>
          </cell>
          <cell r="H2623" t="str">
            <v xml:space="preserve">pç    </v>
          </cell>
          <cell r="I2623">
            <v>1</v>
          </cell>
          <cell r="J2623">
            <v>17.27</v>
          </cell>
          <cell r="K2623">
            <v>14.41</v>
          </cell>
          <cell r="L2623">
            <v>17.27</v>
          </cell>
        </row>
        <row r="2624">
          <cell r="D2624" t="str">
            <v xml:space="preserve">  P.150.            </v>
          </cell>
          <cell r="E2624" t="str">
            <v>CP2020</v>
          </cell>
          <cell r="F2624" t="str">
            <v>16.5.11.</v>
          </cell>
          <cell r="G2624" t="str">
            <v xml:space="preserve">Conector tipo parafuso fendido, com rabicho de rosca 3/8, para fixação de dois cabos de # 35 mm2  </v>
          </cell>
          <cell r="H2624" t="str">
            <v xml:space="preserve">pç    </v>
          </cell>
          <cell r="I2624">
            <v>26</v>
          </cell>
          <cell r="J2624">
            <v>16.809999999999999</v>
          </cell>
          <cell r="K2624">
            <v>20.87</v>
          </cell>
          <cell r="L2624">
            <v>437.06</v>
          </cell>
        </row>
        <row r="2625">
          <cell r="D2625" t="str">
            <v xml:space="preserve">  P.151.            </v>
          </cell>
          <cell r="E2625" t="str">
            <v>CP2200</v>
          </cell>
          <cell r="F2625" t="str">
            <v>16.5.12.</v>
          </cell>
          <cell r="G2625" t="str">
            <v xml:space="preserve">Suporte c/ abraçadeira, rosca mecânica de 3/8, p/ fixação de tubos de proteção de PVC rígido de diâmetro 2  </v>
          </cell>
          <cell r="H2625" t="str">
            <v xml:space="preserve">pç    </v>
          </cell>
          <cell r="I2625">
            <v>8</v>
          </cell>
          <cell r="J2625">
            <v>13.5</v>
          </cell>
          <cell r="K2625">
            <v>11.28</v>
          </cell>
          <cell r="L2625">
            <v>108</v>
          </cell>
        </row>
        <row r="2626">
          <cell r="D2626" t="str">
            <v xml:space="preserve">  P.152.            </v>
          </cell>
          <cell r="E2626" t="str">
            <v>CP1906</v>
          </cell>
          <cell r="F2626" t="str">
            <v>16.5.13.</v>
          </cell>
          <cell r="G2626" t="str">
            <v xml:space="preserve">Eletroduto de PVC rígido, fornecido em peças de 3 m, diâm. 2  </v>
          </cell>
          <cell r="H2626" t="str">
            <v xml:space="preserve">pç    </v>
          </cell>
          <cell r="I2626">
            <v>16</v>
          </cell>
          <cell r="J2626">
            <v>58.54</v>
          </cell>
          <cell r="K2626">
            <v>57.98</v>
          </cell>
          <cell r="L2626">
            <v>936.64</v>
          </cell>
        </row>
        <row r="2627">
          <cell r="D2627" t="str">
            <v xml:space="preserve">  P.153.            </v>
          </cell>
          <cell r="E2627" t="str">
            <v>CP2120</v>
          </cell>
          <cell r="F2627" t="str">
            <v>16.5.14.</v>
          </cell>
          <cell r="G2627" t="str">
            <v xml:space="preserve">Isolador tipo roldana, reforçado  </v>
          </cell>
          <cell r="H2627" t="str">
            <v xml:space="preserve">pç    </v>
          </cell>
          <cell r="I2627">
            <v>350</v>
          </cell>
          <cell r="J2627">
            <v>9.85</v>
          </cell>
          <cell r="K2627">
            <v>12.48</v>
          </cell>
          <cell r="L2627">
            <v>3447.5</v>
          </cell>
        </row>
        <row r="2628">
          <cell r="D2628" t="str">
            <v xml:space="preserve">  P.154.            </v>
          </cell>
          <cell r="E2628" t="str">
            <v xml:space="preserve">      </v>
          </cell>
          <cell r="F2628" t="str">
            <v>16.5.15.</v>
          </cell>
          <cell r="G2628" t="str">
            <v xml:space="preserve">Serviço  </v>
          </cell>
          <cell r="H2628" t="str">
            <v xml:space="preserve">      </v>
          </cell>
          <cell r="I2628">
            <v>0</v>
          </cell>
          <cell r="J2628">
            <v>0</v>
          </cell>
          <cell r="K2628">
            <v>0</v>
          </cell>
          <cell r="L2628">
            <v>0</v>
          </cell>
        </row>
        <row r="2629">
          <cell r="D2629" t="str">
            <v xml:space="preserve">  P.155.            </v>
          </cell>
          <cell r="E2629" t="str">
            <v>CP1832</v>
          </cell>
          <cell r="F2629" t="str">
            <v>16.5.16.</v>
          </cell>
          <cell r="G2629" t="str">
            <v xml:space="preserve">Execução de caixa 300x300x300 mm, fundo em brita e tampão FFT16  </v>
          </cell>
          <cell r="H2629" t="str">
            <v xml:space="preserve">pc    </v>
          </cell>
          <cell r="I2629">
            <v>5</v>
          </cell>
          <cell r="J2629">
            <v>82.53</v>
          </cell>
          <cell r="K2629">
            <v>117.9</v>
          </cell>
          <cell r="L2629">
            <v>412.65</v>
          </cell>
        </row>
        <row r="2630">
          <cell r="D2630" t="str">
            <v xml:space="preserve">  P.156.            </v>
          </cell>
          <cell r="E2630" t="str">
            <v>CP2036</v>
          </cell>
          <cell r="F2630" t="str">
            <v>16.5.17.</v>
          </cell>
          <cell r="G2630" t="str">
            <v xml:space="preserve">Abertura e recobrimento de vala 600X600 mm  </v>
          </cell>
          <cell r="H2630" t="str">
            <v xml:space="preserve">m     </v>
          </cell>
          <cell r="I2630">
            <v>230</v>
          </cell>
          <cell r="J2630">
            <v>7.99</v>
          </cell>
          <cell r="K2630">
            <v>6.68</v>
          </cell>
          <cell r="L2630">
            <v>1837.7</v>
          </cell>
        </row>
        <row r="2631">
          <cell r="D2631" t="str">
            <v xml:space="preserve">  P.157.            </v>
          </cell>
          <cell r="E2631" t="str">
            <v>CP1610</v>
          </cell>
          <cell r="F2631" t="str">
            <v>16.5.18.</v>
          </cell>
          <cell r="G2631" t="str">
            <v xml:space="preserve">Medição da resistência de aterramento  </v>
          </cell>
          <cell r="H2631" t="str">
            <v xml:space="preserve">un    </v>
          </cell>
          <cell r="I2631">
            <v>1</v>
          </cell>
          <cell r="J2631">
            <v>5194.6499999999996</v>
          </cell>
          <cell r="K2631">
            <v>7420.93</v>
          </cell>
          <cell r="L2631">
            <v>5194.6499999999996</v>
          </cell>
        </row>
        <row r="2632">
          <cell r="D2632" t="str">
            <v xml:space="preserve">  P.158.            </v>
          </cell>
          <cell r="E2632" t="str">
            <v xml:space="preserve">      </v>
          </cell>
          <cell r="F2632" t="str">
            <v>16.6.</v>
          </cell>
          <cell r="G2632" t="str">
            <v xml:space="preserve">Sistema de Automação  </v>
          </cell>
          <cell r="H2632" t="str">
            <v xml:space="preserve">      </v>
          </cell>
          <cell r="I2632">
            <v>0</v>
          </cell>
          <cell r="J2632">
            <v>0</v>
          </cell>
          <cell r="K2632">
            <v>0</v>
          </cell>
          <cell r="L2632">
            <v>0</v>
          </cell>
        </row>
        <row r="2633">
          <cell r="D2633" t="str">
            <v xml:space="preserve">  P.159.            </v>
          </cell>
          <cell r="E2633" t="str">
            <v xml:space="preserve">      </v>
          </cell>
          <cell r="F2633" t="str">
            <v>16.6.1.</v>
          </cell>
          <cell r="G2633" t="str">
            <v xml:space="preserve">Fornecimento e instalação  </v>
          </cell>
          <cell r="H2633" t="str">
            <v xml:space="preserve">      </v>
          </cell>
          <cell r="I2633">
            <v>0</v>
          </cell>
          <cell r="J2633">
            <v>0</v>
          </cell>
          <cell r="K2633">
            <v>0</v>
          </cell>
          <cell r="L2633">
            <v>0</v>
          </cell>
        </row>
        <row r="2634">
          <cell r="D2634" t="str">
            <v xml:space="preserve">  P.160.            </v>
          </cell>
          <cell r="E2634" t="str">
            <v xml:space="preserve">      </v>
          </cell>
          <cell r="F2634" t="str">
            <v>16.6.2.</v>
          </cell>
          <cell r="G2634" t="str">
            <v xml:space="preserve">CLP e Remotas compostos de entradas e saídas digitais e analógicas, conector de fibra ótica, cabos e acessórios a serem instalados no referido painel, conforme especificações do memorial descritivo e projetos, incluindo inspeções e testes  </v>
          </cell>
          <cell r="H2634" t="str">
            <v xml:space="preserve">      </v>
          </cell>
          <cell r="I2634">
            <v>0</v>
          </cell>
          <cell r="J2634">
            <v>0</v>
          </cell>
          <cell r="K2634">
            <v>0</v>
          </cell>
          <cell r="L2634">
            <v>0</v>
          </cell>
        </row>
        <row r="2635">
          <cell r="D2635" t="str">
            <v xml:space="preserve">  P.161.            </v>
          </cell>
          <cell r="E2635" t="str">
            <v>CP1225</v>
          </cell>
          <cell r="F2635" t="str">
            <v>16.6.1.</v>
          </cell>
          <cell r="G2635" t="str">
            <v xml:space="preserve">Unidade de Aquisição de Dados, para as mesas dos filtros  </v>
          </cell>
          <cell r="H2635" t="str">
            <v xml:space="preserve">un    </v>
          </cell>
          <cell r="I2635">
            <v>6</v>
          </cell>
          <cell r="J2635">
            <v>158706.5</v>
          </cell>
          <cell r="K2635">
            <v>163028.99</v>
          </cell>
          <cell r="L2635">
            <v>952239</v>
          </cell>
        </row>
        <row r="2636">
          <cell r="D2636" t="str">
            <v xml:space="preserve">  P.162.            </v>
          </cell>
          <cell r="E2636" t="str">
            <v>CP1211</v>
          </cell>
          <cell r="F2636" t="str">
            <v>16.6.2.</v>
          </cell>
          <cell r="G2636" t="str">
            <v xml:space="preserve">Unidade de Aquisição de Dados, para o QF-Armazenamento  </v>
          </cell>
          <cell r="H2636" t="str">
            <v xml:space="preserve">un    </v>
          </cell>
          <cell r="I2636">
            <v>1</v>
          </cell>
          <cell r="J2636">
            <v>39103.5</v>
          </cell>
          <cell r="K2636">
            <v>32687.53</v>
          </cell>
          <cell r="L2636">
            <v>39103.5</v>
          </cell>
        </row>
        <row r="2637">
          <cell r="D2637" t="str">
            <v xml:space="preserve">  P.163.            </v>
          </cell>
          <cell r="E2637" t="str">
            <v>CP3567</v>
          </cell>
          <cell r="F2637" t="str">
            <v>16.6.3.</v>
          </cell>
          <cell r="G2637" t="str">
            <v xml:space="preserve">Unidade de Aquisição de Dados, para o QF-Bombas de Amostragem  </v>
          </cell>
          <cell r="H2637" t="str">
            <v xml:space="preserve">un    </v>
          </cell>
          <cell r="I2637">
            <v>1</v>
          </cell>
          <cell r="J2637">
            <v>41004.949999999997</v>
          </cell>
          <cell r="K2637">
            <v>34321.89</v>
          </cell>
          <cell r="L2637">
            <v>41004.949999999997</v>
          </cell>
        </row>
        <row r="2638">
          <cell r="D2638" t="str">
            <v xml:space="preserve">  P.164.            </v>
          </cell>
          <cell r="E2638" t="str">
            <v>CP1202</v>
          </cell>
          <cell r="F2638" t="str">
            <v>16.6.4.</v>
          </cell>
          <cell r="G2638" t="str">
            <v xml:space="preserve">Unidade de Aquisição de Dados, para o QF-Casa de Química  </v>
          </cell>
          <cell r="H2638" t="str">
            <v xml:space="preserve">un    </v>
          </cell>
          <cell r="I2638">
            <v>1</v>
          </cell>
          <cell r="J2638">
            <v>60260</v>
          </cell>
          <cell r="K2638">
            <v>50257.06</v>
          </cell>
          <cell r="L2638">
            <v>60260</v>
          </cell>
        </row>
        <row r="2639">
          <cell r="D2639" t="str">
            <v xml:space="preserve">  P.165.            </v>
          </cell>
          <cell r="E2639" t="str">
            <v>CP1195</v>
          </cell>
          <cell r="F2639" t="str">
            <v>16.6.5.</v>
          </cell>
          <cell r="G2639" t="str">
            <v xml:space="preserve">Unidade de Central de Aquisição de Dados, para sala de operação  </v>
          </cell>
          <cell r="H2639" t="str">
            <v xml:space="preserve">un    </v>
          </cell>
          <cell r="I2639">
            <v>1</v>
          </cell>
          <cell r="J2639">
            <v>39103.5</v>
          </cell>
          <cell r="K2639">
            <v>32687.53</v>
          </cell>
          <cell r="L2639">
            <v>39103.5</v>
          </cell>
        </row>
        <row r="2640">
          <cell r="D2640" t="str">
            <v xml:space="preserve">  P.166.            </v>
          </cell>
          <cell r="E2640" t="str">
            <v>CP1182</v>
          </cell>
          <cell r="F2640" t="str">
            <v>16.6.6.</v>
          </cell>
          <cell r="G2640" t="str">
            <v xml:space="preserve">Unidade de Aquisição de Dados, para o Painel da Remota do Pré-tratamento  </v>
          </cell>
          <cell r="H2640" t="str">
            <v xml:space="preserve">un    </v>
          </cell>
          <cell r="I2640">
            <v>1</v>
          </cell>
          <cell r="J2640">
            <v>71015.100000000006</v>
          </cell>
          <cell r="K2640">
            <v>59246.1</v>
          </cell>
          <cell r="L2640">
            <v>71015.100000000006</v>
          </cell>
        </row>
        <row r="2641">
          <cell r="D2641" t="str">
            <v xml:space="preserve">  P.167.            </v>
          </cell>
          <cell r="E2641" t="str">
            <v>CP1246</v>
          </cell>
          <cell r="F2641" t="str">
            <v>16.6.7.</v>
          </cell>
          <cell r="G2641" t="str">
            <v xml:space="preserve">Unidade de Aquisição de Dados, para o QF-B. Lavagem e Sopradores  </v>
          </cell>
          <cell r="H2641" t="str">
            <v xml:space="preserve">un    </v>
          </cell>
          <cell r="I2641">
            <v>1</v>
          </cell>
          <cell r="J2641">
            <v>62225</v>
          </cell>
          <cell r="K2641">
            <v>51891.42</v>
          </cell>
          <cell r="L2641">
            <v>62225</v>
          </cell>
        </row>
        <row r="2642">
          <cell r="D2642" t="str">
            <v xml:space="preserve">  P.168.            </v>
          </cell>
          <cell r="E2642" t="str">
            <v>CP1238</v>
          </cell>
          <cell r="F2642" t="str">
            <v>16.6.8.</v>
          </cell>
          <cell r="G2642" t="str">
            <v xml:space="preserve">Unidade de Aquisição de Dados, para o QF-Sistema de Lodo  </v>
          </cell>
          <cell r="H2642" t="str">
            <v xml:space="preserve">un    </v>
          </cell>
          <cell r="I2642">
            <v>1</v>
          </cell>
          <cell r="J2642">
            <v>53382.5</v>
          </cell>
          <cell r="K2642">
            <v>44536.72</v>
          </cell>
          <cell r="L2642">
            <v>53382.5</v>
          </cell>
        </row>
        <row r="2643">
          <cell r="D2643" t="str">
            <v xml:space="preserve">  P.168.  1.        </v>
          </cell>
          <cell r="E2643" t="str">
            <v>CP5039</v>
          </cell>
          <cell r="F2643" t="str">
            <v>16.6.8.1</v>
          </cell>
          <cell r="G2643" t="str">
            <v xml:space="preserve">Unidade de Aquisição de Dados, para o QF-Buriti  </v>
          </cell>
          <cell r="H2643" t="str">
            <v xml:space="preserve">un    </v>
          </cell>
          <cell r="I2643">
            <v>1</v>
          </cell>
          <cell r="J2643">
            <v>47055.199999999997</v>
          </cell>
          <cell r="K2643">
            <v>39546.519999999997</v>
          </cell>
          <cell r="L2643">
            <v>47055.199999999997</v>
          </cell>
        </row>
        <row r="2644">
          <cell r="D2644" t="str">
            <v xml:space="preserve">  P.169.            </v>
          </cell>
          <cell r="E2644" t="str">
            <v>CP1203</v>
          </cell>
          <cell r="F2644" t="str">
            <v>16.6.11.</v>
          </cell>
          <cell r="G2644" t="str">
            <v xml:space="preserve">Sobressalentes  </v>
          </cell>
          <cell r="H2644" t="str">
            <v xml:space="preserve">un    </v>
          </cell>
          <cell r="I2644">
            <v>1</v>
          </cell>
          <cell r="J2644">
            <v>138108.95000000001</v>
          </cell>
          <cell r="K2644">
            <v>171609.46</v>
          </cell>
          <cell r="L2644">
            <v>138108.95000000001</v>
          </cell>
        </row>
        <row r="2645">
          <cell r="D2645" t="str">
            <v xml:space="preserve">  P.170.            </v>
          </cell>
          <cell r="E2645" t="str">
            <v xml:space="preserve">      </v>
          </cell>
          <cell r="F2645" t="str">
            <v>16.6.12.</v>
          </cell>
          <cell r="G2645" t="str">
            <v xml:space="preserve">Equipamentos e Acessórios de Informática  </v>
          </cell>
          <cell r="H2645" t="str">
            <v xml:space="preserve">      </v>
          </cell>
          <cell r="I2645">
            <v>0</v>
          </cell>
          <cell r="J2645">
            <v>0</v>
          </cell>
          <cell r="K2645">
            <v>0</v>
          </cell>
          <cell r="L2645">
            <v>0</v>
          </cell>
        </row>
        <row r="2646">
          <cell r="D2646" t="str">
            <v xml:space="preserve">  P.171.            </v>
          </cell>
          <cell r="E2646" t="str">
            <v>CP1695</v>
          </cell>
          <cell r="F2646" t="str">
            <v>16.6.13.</v>
          </cell>
          <cell r="G2646" t="str">
            <v xml:space="preserve">Estação de Operação, conforme especificações do memorial descritivo  </v>
          </cell>
          <cell r="H2646" t="str">
            <v xml:space="preserve">un    </v>
          </cell>
          <cell r="I2646">
            <v>2</v>
          </cell>
          <cell r="J2646">
            <v>39459.699999999997</v>
          </cell>
          <cell r="K2646">
            <v>49031.27</v>
          </cell>
          <cell r="L2646">
            <v>78919.399999999994</v>
          </cell>
        </row>
        <row r="2647">
          <cell r="D2647" t="str">
            <v xml:space="preserve">  P.172.            </v>
          </cell>
          <cell r="E2647" t="str">
            <v>CP1297</v>
          </cell>
          <cell r="F2647" t="str">
            <v>16.6.14.</v>
          </cell>
          <cell r="G2647" t="str">
            <v xml:space="preserve">Estação de Gerenciamento, conforme especificações do memorial descritivo  </v>
          </cell>
          <cell r="H2647" t="str">
            <v xml:space="preserve">un    </v>
          </cell>
          <cell r="I2647">
            <v>1</v>
          </cell>
          <cell r="J2647">
            <v>51297.61</v>
          </cell>
          <cell r="K2647">
            <v>63740.65</v>
          </cell>
          <cell r="L2647">
            <v>51297.61</v>
          </cell>
        </row>
        <row r="2648">
          <cell r="D2648" t="str">
            <v xml:space="preserve">  P.173.            </v>
          </cell>
          <cell r="E2648" t="str">
            <v>CP1284</v>
          </cell>
          <cell r="F2648" t="str">
            <v>16.6.15.</v>
          </cell>
          <cell r="G2648" t="str">
            <v xml:space="preserve">Estação Servidora, conforme especificações do memorial descritivo  </v>
          </cell>
          <cell r="H2648" t="str">
            <v xml:space="preserve">un    </v>
          </cell>
          <cell r="I2648">
            <v>1</v>
          </cell>
          <cell r="J2648">
            <v>73986.94</v>
          </cell>
          <cell r="K2648">
            <v>91933.64</v>
          </cell>
          <cell r="L2648">
            <v>73986.94</v>
          </cell>
        </row>
        <row r="2649">
          <cell r="D2649" t="str">
            <v xml:space="preserve">  P.174.            </v>
          </cell>
          <cell r="E2649" t="str">
            <v>CP1309</v>
          </cell>
          <cell r="F2649" t="str">
            <v>16.6.16.</v>
          </cell>
          <cell r="G2649" t="str">
            <v xml:space="preserve">Switch inteligente, conforme especificações do memorial descritivo  </v>
          </cell>
          <cell r="H2649" t="str">
            <v xml:space="preserve">un    </v>
          </cell>
          <cell r="I2649">
            <v>3</v>
          </cell>
          <cell r="J2649">
            <v>4190.2299999999996</v>
          </cell>
          <cell r="K2649">
            <v>3513.91</v>
          </cell>
          <cell r="L2649">
            <v>12570.69</v>
          </cell>
        </row>
        <row r="2650">
          <cell r="D2650" t="str">
            <v xml:space="preserve">  P.175.            </v>
          </cell>
          <cell r="E2650" t="str">
            <v>CP1378</v>
          </cell>
          <cell r="F2650" t="str">
            <v>16.6.17.</v>
          </cell>
          <cell r="G2650" t="str">
            <v xml:space="preserve">Roteador de rede, conforme especificações do memorial descritivo  </v>
          </cell>
          <cell r="H2650" t="str">
            <v xml:space="preserve">un    </v>
          </cell>
          <cell r="I2650">
            <v>2</v>
          </cell>
          <cell r="J2650">
            <v>3945.97</v>
          </cell>
          <cell r="K2650">
            <v>4903.12</v>
          </cell>
          <cell r="L2650">
            <v>7891.94</v>
          </cell>
        </row>
        <row r="2651">
          <cell r="D2651" t="str">
            <v xml:space="preserve">  P.176.            </v>
          </cell>
          <cell r="E2651" t="str">
            <v>CP1283</v>
          </cell>
          <cell r="F2651" t="str">
            <v>16.6.18.</v>
          </cell>
          <cell r="G2651" t="str">
            <v xml:space="preserve">Terminal de Programação (TP), conforme especificações do memorial descritivo  </v>
          </cell>
          <cell r="H2651" t="str">
            <v xml:space="preserve">un    </v>
          </cell>
          <cell r="I2651">
            <v>1</v>
          </cell>
          <cell r="J2651">
            <v>24333.47</v>
          </cell>
          <cell r="K2651">
            <v>30235.95</v>
          </cell>
          <cell r="L2651">
            <v>24333.47</v>
          </cell>
        </row>
        <row r="2652">
          <cell r="D2652" t="str">
            <v xml:space="preserve">  P.177.            </v>
          </cell>
          <cell r="E2652" t="str">
            <v xml:space="preserve">      </v>
          </cell>
          <cell r="F2652" t="str">
            <v>16.6.19.</v>
          </cell>
          <cell r="G2652" t="str">
            <v xml:space="preserve">Programas e Aplicativos  </v>
          </cell>
          <cell r="H2652" t="str">
            <v xml:space="preserve">      </v>
          </cell>
          <cell r="I2652">
            <v>0</v>
          </cell>
          <cell r="J2652">
            <v>0</v>
          </cell>
          <cell r="K2652">
            <v>0</v>
          </cell>
          <cell r="L2652">
            <v>0</v>
          </cell>
        </row>
        <row r="2653">
          <cell r="D2653" t="str">
            <v xml:space="preserve">  P.178.            </v>
          </cell>
          <cell r="E2653" t="str">
            <v>CP1247</v>
          </cell>
          <cell r="F2653" t="str">
            <v>16.6.20.</v>
          </cell>
          <cell r="G2653" t="str">
            <v xml:space="preserve">Software iFix Dynamics - HMI Pak irrestrito run-time. Inclui driver de comunic. p/ CLP  </v>
          </cell>
          <cell r="H2653" t="str">
            <v xml:space="preserve">un    </v>
          </cell>
          <cell r="I2653">
            <v>2</v>
          </cell>
          <cell r="J2653">
            <v>67551.710000000006</v>
          </cell>
          <cell r="K2653">
            <v>83937.44</v>
          </cell>
          <cell r="L2653">
            <v>135103.42000000001</v>
          </cell>
        </row>
        <row r="2654">
          <cell r="D2654" t="str">
            <v xml:space="preserve">  P.179.            </v>
          </cell>
          <cell r="E2654" t="str">
            <v>CP1528</v>
          </cell>
          <cell r="F2654" t="str">
            <v>16.6.21.</v>
          </cell>
          <cell r="G2654" t="str">
            <v xml:space="preserve">Windows 2000 Profess.OEM Inglês  </v>
          </cell>
          <cell r="H2654" t="str">
            <v xml:space="preserve">un    </v>
          </cell>
          <cell r="I2654">
            <v>4</v>
          </cell>
          <cell r="J2654">
            <v>1966.41</v>
          </cell>
          <cell r="K2654">
            <v>2443.4</v>
          </cell>
          <cell r="L2654">
            <v>7865.64</v>
          </cell>
        </row>
        <row r="2655">
          <cell r="D2655" t="str">
            <v xml:space="preserve">  P.180.            </v>
          </cell>
          <cell r="E2655" t="str">
            <v>CP1387</v>
          </cell>
          <cell r="F2655" t="str">
            <v>16.6.22.</v>
          </cell>
          <cell r="G2655" t="str">
            <v xml:space="preserve">Windows 2000 Server p/ 5 clients, OEM, Inglês  </v>
          </cell>
          <cell r="H2655" t="str">
            <v xml:space="preserve">un    </v>
          </cell>
          <cell r="I2655">
            <v>1</v>
          </cell>
          <cell r="J2655">
            <v>9832.0300000000007</v>
          </cell>
          <cell r="K2655">
            <v>12216.95</v>
          </cell>
          <cell r="L2655">
            <v>9832.0300000000007</v>
          </cell>
        </row>
        <row r="2656">
          <cell r="D2656" t="str">
            <v xml:space="preserve">  P.181.            </v>
          </cell>
          <cell r="E2656" t="str">
            <v>CP1668</v>
          </cell>
          <cell r="F2656" t="str">
            <v>16.6.23.</v>
          </cell>
          <cell r="G2656" t="str">
            <v xml:space="preserve">Windows 2000 client open  </v>
          </cell>
          <cell r="H2656" t="str">
            <v xml:space="preserve">un    </v>
          </cell>
          <cell r="I2656">
            <v>3</v>
          </cell>
          <cell r="J2656">
            <v>478.73</v>
          </cell>
          <cell r="K2656">
            <v>594.9</v>
          </cell>
          <cell r="L2656">
            <v>1436.19</v>
          </cell>
        </row>
        <row r="2657">
          <cell r="D2657" t="str">
            <v xml:space="preserve">  P.182.            </v>
          </cell>
          <cell r="E2657" t="str">
            <v>CP1419</v>
          </cell>
          <cell r="F2657" t="str">
            <v>16.6.24.</v>
          </cell>
          <cell r="G2657" t="str">
            <v xml:space="preserve">Licença de uso OPC Server do CLP  </v>
          </cell>
          <cell r="H2657" t="str">
            <v xml:space="preserve">un    </v>
          </cell>
          <cell r="I2657">
            <v>1</v>
          </cell>
          <cell r="J2657">
            <v>13585.75</v>
          </cell>
          <cell r="K2657">
            <v>19408.22</v>
          </cell>
          <cell r="L2657">
            <v>13585.75</v>
          </cell>
        </row>
        <row r="2658">
          <cell r="D2658" t="str">
            <v xml:space="preserve">  P.183.            </v>
          </cell>
          <cell r="E2658" t="str">
            <v>CP1438</v>
          </cell>
          <cell r="F2658" t="str">
            <v>16.6.25.</v>
          </cell>
          <cell r="G2658" t="str">
            <v xml:space="preserve">Licença de Excell Addin p/ utilização com iHistorian RT 100 pontos p/ emissão relatórios  </v>
          </cell>
          <cell r="H2658" t="str">
            <v xml:space="preserve">un    </v>
          </cell>
          <cell r="I2658">
            <v>2</v>
          </cell>
          <cell r="J2658">
            <v>5261.3</v>
          </cell>
          <cell r="K2658">
            <v>6537.51</v>
          </cell>
          <cell r="L2658">
            <v>10522.6</v>
          </cell>
        </row>
        <row r="2659">
          <cell r="D2659" t="str">
            <v xml:space="preserve">  P.184.            </v>
          </cell>
          <cell r="E2659" t="str">
            <v>CP4510</v>
          </cell>
          <cell r="F2659" t="str">
            <v>16.6.26.</v>
          </cell>
          <cell r="G2659" t="str">
            <v xml:space="preserve">Software programação redes entre racks remotos e entre racks e inversores  </v>
          </cell>
          <cell r="H2659" t="str">
            <v xml:space="preserve">un    </v>
          </cell>
          <cell r="I2659">
            <v>1</v>
          </cell>
          <cell r="J2659">
            <v>13482.55</v>
          </cell>
          <cell r="K2659">
            <v>16752.34</v>
          </cell>
          <cell r="L2659">
            <v>13482.55</v>
          </cell>
        </row>
        <row r="2660">
          <cell r="D2660" t="str">
            <v xml:space="preserve">  P.185.            </v>
          </cell>
          <cell r="E2660" t="str">
            <v>CP1243</v>
          </cell>
          <cell r="F2660" t="str">
            <v>16.6.27.</v>
          </cell>
          <cell r="G2660" t="str">
            <v xml:space="preserve">Software Web@aGlance com driver para iFix  </v>
          </cell>
          <cell r="H2660" t="str">
            <v xml:space="preserve">un    </v>
          </cell>
          <cell r="I2660">
            <v>1</v>
          </cell>
          <cell r="J2660">
            <v>25427.96</v>
          </cell>
          <cell r="K2660">
            <v>29010.19</v>
          </cell>
          <cell r="L2660">
            <v>25427.96</v>
          </cell>
        </row>
        <row r="2661">
          <cell r="D2661" t="str">
            <v xml:space="preserve">  P.186.            </v>
          </cell>
          <cell r="E2661" t="str">
            <v>CP1330</v>
          </cell>
          <cell r="F2661" t="str">
            <v>16.6.28.</v>
          </cell>
          <cell r="G2661" t="str">
            <v xml:space="preserve">Software de programação CLP  </v>
          </cell>
          <cell r="H2661" t="str">
            <v xml:space="preserve">un    </v>
          </cell>
          <cell r="I2661">
            <v>1</v>
          </cell>
          <cell r="J2661">
            <v>13153.24</v>
          </cell>
          <cell r="K2661">
            <v>16343.77</v>
          </cell>
          <cell r="L2661">
            <v>13153.24</v>
          </cell>
        </row>
        <row r="2662">
          <cell r="D2662" t="str">
            <v xml:space="preserve">  P.187.            </v>
          </cell>
          <cell r="E2662" t="str">
            <v xml:space="preserve">      </v>
          </cell>
          <cell r="F2662" t="str">
            <v>16.6.29.</v>
          </cell>
          <cell r="G2662" t="str">
            <v xml:space="preserve">Fornecimento de cabos:  </v>
          </cell>
          <cell r="H2662" t="str">
            <v xml:space="preserve">      </v>
          </cell>
          <cell r="I2662">
            <v>0</v>
          </cell>
          <cell r="J2662">
            <v>0</v>
          </cell>
          <cell r="K2662">
            <v>0</v>
          </cell>
          <cell r="L2662">
            <v>0</v>
          </cell>
        </row>
        <row r="2663">
          <cell r="D2663" t="str">
            <v xml:space="preserve">  P.188.            </v>
          </cell>
          <cell r="E2663" t="str">
            <v>CP1916</v>
          </cell>
          <cell r="F2663" t="str">
            <v>16.6.30.</v>
          </cell>
          <cell r="G2663" t="str">
            <v xml:space="preserve">Cabo fibra ótica, multimodo, uso externo, 6 veias, Furukawa ou similar  </v>
          </cell>
          <cell r="H2663" t="str">
            <v xml:space="preserve">m     </v>
          </cell>
          <cell r="I2663">
            <v>830</v>
          </cell>
          <cell r="J2663">
            <v>18.21</v>
          </cell>
          <cell r="K2663">
            <v>21.56</v>
          </cell>
          <cell r="L2663">
            <v>15114.3</v>
          </cell>
        </row>
        <row r="2664">
          <cell r="D2664" t="str">
            <v xml:space="preserve">  P.189.            </v>
          </cell>
          <cell r="E2664" t="str">
            <v>CP2284</v>
          </cell>
          <cell r="F2664" t="str">
            <v>16.6.31.</v>
          </cell>
          <cell r="G2664" t="str">
            <v xml:space="preserve">Cabo UTP, 4 pares, categoria 5, Furukawa ou similar  </v>
          </cell>
          <cell r="H2664" t="str">
            <v xml:space="preserve">m     </v>
          </cell>
          <cell r="I2664">
            <v>340</v>
          </cell>
          <cell r="J2664">
            <v>3.29</v>
          </cell>
          <cell r="K2664">
            <v>3.9</v>
          </cell>
          <cell r="L2664">
            <v>1118.5999999999999</v>
          </cell>
        </row>
        <row r="2665">
          <cell r="D2665" t="str">
            <v xml:space="preserve">  P.190.            </v>
          </cell>
          <cell r="E2665" t="str">
            <v xml:space="preserve">      </v>
          </cell>
          <cell r="F2665" t="str">
            <v>16.6.32.</v>
          </cell>
          <cell r="G2665" t="str">
            <v xml:space="preserve">Serviços  </v>
          </cell>
          <cell r="H2665" t="str">
            <v xml:space="preserve">      </v>
          </cell>
          <cell r="I2665">
            <v>0</v>
          </cell>
          <cell r="J2665">
            <v>0</v>
          </cell>
          <cell r="K2665">
            <v>0</v>
          </cell>
          <cell r="L2665">
            <v>0</v>
          </cell>
        </row>
        <row r="2666">
          <cell r="D2666" t="str">
            <v xml:space="preserve">  P.191.            </v>
          </cell>
          <cell r="E2666" t="str">
            <v>CP1194</v>
          </cell>
          <cell r="F2666" t="str">
            <v>16.6.33.</v>
          </cell>
          <cell r="G2666" t="str">
            <v xml:space="preserve">Programação e configuração dos equipamentos de automação (CLPs, CPUs, Racks) da ETA Brasília, conforme especificações do memorial descritivo  </v>
          </cell>
          <cell r="H2666" t="str">
            <v xml:space="preserve">un    </v>
          </cell>
          <cell r="I2666">
            <v>1</v>
          </cell>
          <cell r="J2666">
            <v>171975.87</v>
          </cell>
          <cell r="K2666">
            <v>144419.72</v>
          </cell>
          <cell r="L2666">
            <v>171975.87</v>
          </cell>
        </row>
        <row r="2667">
          <cell r="D2667" t="str">
            <v xml:space="preserve">  P.192.            </v>
          </cell>
          <cell r="E2667" t="str">
            <v>CP1240</v>
          </cell>
          <cell r="F2667" t="str">
            <v>16.6.34.</v>
          </cell>
          <cell r="G2667" t="str">
            <v xml:space="preserve">Desenvolvimento de aplicativo supervisório (iFIX) da ETA Brasília, a ser instalados nas EOPs, conforme especificações do memorial descritivo  </v>
          </cell>
          <cell r="H2667" t="str">
            <v xml:space="preserve">un    </v>
          </cell>
          <cell r="I2667">
            <v>1</v>
          </cell>
          <cell r="J2667">
            <v>50661.79</v>
          </cell>
          <cell r="K2667">
            <v>42305.8</v>
          </cell>
          <cell r="L2667">
            <v>50661.79</v>
          </cell>
        </row>
        <row r="2668">
          <cell r="D2668" t="str">
            <v xml:space="preserve">  P.193.            </v>
          </cell>
          <cell r="E2668" t="str">
            <v>CP1403</v>
          </cell>
          <cell r="F2668" t="str">
            <v>16.6.35.</v>
          </cell>
          <cell r="G2668" t="str">
            <v xml:space="preserve">Configuração da comunicação entre sistema de supervisão local e Sistema Central existente via linha privada  </v>
          </cell>
          <cell r="H2668" t="str">
            <v xml:space="preserve">un    </v>
          </cell>
          <cell r="I2668">
            <v>1</v>
          </cell>
          <cell r="J2668">
            <v>4581.82</v>
          </cell>
          <cell r="K2668">
            <v>3845.56</v>
          </cell>
          <cell r="L2668">
            <v>4581.82</v>
          </cell>
        </row>
        <row r="2669">
          <cell r="D2669" t="str">
            <v xml:space="preserve">  P.194.            </v>
          </cell>
          <cell r="E2669" t="str">
            <v>CP1357</v>
          </cell>
          <cell r="F2669" t="str">
            <v>16.6.36.</v>
          </cell>
          <cell r="G2669" t="str">
            <v xml:space="preserve">Configuração dos inversores de frequência  </v>
          </cell>
          <cell r="H2669" t="str">
            <v xml:space="preserve">un    </v>
          </cell>
          <cell r="I2669">
            <v>1</v>
          </cell>
          <cell r="J2669">
            <v>7938.6</v>
          </cell>
          <cell r="K2669">
            <v>6665.13</v>
          </cell>
          <cell r="L2669">
            <v>7938.6</v>
          </cell>
        </row>
        <row r="2670">
          <cell r="D2670" t="str">
            <v xml:space="preserve">  P.195.            </v>
          </cell>
          <cell r="E2670" t="str">
            <v>CP1328</v>
          </cell>
          <cell r="F2670" t="str">
            <v>16.6.37.</v>
          </cell>
          <cell r="G2670" t="str">
            <v xml:space="preserve">Configuração aplicativo WEB  </v>
          </cell>
          <cell r="H2670" t="str">
            <v xml:space="preserve">un    </v>
          </cell>
          <cell r="I2670">
            <v>1</v>
          </cell>
          <cell r="J2670">
            <v>10898.95</v>
          </cell>
          <cell r="K2670">
            <v>9122.19</v>
          </cell>
          <cell r="L2670">
            <v>10898.95</v>
          </cell>
        </row>
        <row r="2671">
          <cell r="D2671" t="str">
            <v xml:space="preserve">  P.196.            </v>
          </cell>
          <cell r="E2671" t="str">
            <v>CP1347</v>
          </cell>
          <cell r="F2671" t="str">
            <v>16.6.38.</v>
          </cell>
          <cell r="G2671" t="str">
            <v xml:space="preserve">Desenv. software de controle/dosagem/estoque produtos químicos  </v>
          </cell>
          <cell r="H2671" t="str">
            <v xml:space="preserve">un    </v>
          </cell>
          <cell r="I2671">
            <v>1</v>
          </cell>
          <cell r="J2671">
            <v>8506.42</v>
          </cell>
          <cell r="K2671">
            <v>7090.16</v>
          </cell>
          <cell r="L2671">
            <v>8506.42</v>
          </cell>
        </row>
        <row r="2672">
          <cell r="D2672" t="str">
            <v xml:space="preserve">  P.197.            </v>
          </cell>
          <cell r="E2672" t="str">
            <v>CP1440</v>
          </cell>
          <cell r="F2672" t="str">
            <v>16.6.39.</v>
          </cell>
          <cell r="G2672" t="str">
            <v xml:space="preserve">Instalação dos cabos de comunicação entre rack principal e remoto dos CLP’s  </v>
          </cell>
          <cell r="H2672" t="str">
            <v xml:space="preserve">un    </v>
          </cell>
          <cell r="I2672">
            <v>1</v>
          </cell>
          <cell r="J2672">
            <v>5378.69</v>
          </cell>
          <cell r="K2672">
            <v>4514.7700000000004</v>
          </cell>
          <cell r="L2672">
            <v>5378.69</v>
          </cell>
        </row>
        <row r="2673">
          <cell r="D2673" t="str">
            <v xml:space="preserve">  P.198.            </v>
          </cell>
          <cell r="E2673" t="str">
            <v>CP4511</v>
          </cell>
          <cell r="F2673" t="str">
            <v>16.6.40.</v>
          </cell>
          <cell r="G2673" t="str">
            <v xml:space="preserve">Configuração e programação das redes de comunicação  </v>
          </cell>
          <cell r="H2673" t="str">
            <v xml:space="preserve">un    </v>
          </cell>
          <cell r="I2673">
            <v>1</v>
          </cell>
          <cell r="J2673">
            <v>5316.51</v>
          </cell>
          <cell r="K2673">
            <v>4458.96</v>
          </cell>
          <cell r="L2673">
            <v>5316.51</v>
          </cell>
        </row>
        <row r="2674">
          <cell r="D2674" t="str">
            <v xml:space="preserve">  P.199.            </v>
          </cell>
          <cell r="E2674" t="str">
            <v>CP4512</v>
          </cell>
          <cell r="F2674" t="str">
            <v>16.6.41.</v>
          </cell>
          <cell r="G2674" t="str">
            <v xml:space="preserve">Instalação dos equipamentos de controle  </v>
          </cell>
          <cell r="H2674" t="str">
            <v xml:space="preserve">un    </v>
          </cell>
          <cell r="I2674">
            <v>1</v>
          </cell>
          <cell r="J2674">
            <v>5318.37</v>
          </cell>
          <cell r="K2674">
            <v>4458.96</v>
          </cell>
          <cell r="L2674">
            <v>5318.37</v>
          </cell>
        </row>
        <row r="2675">
          <cell r="D2675" t="str">
            <v xml:space="preserve">  P.200.            </v>
          </cell>
          <cell r="E2675" t="str">
            <v>CP4513</v>
          </cell>
          <cell r="F2675" t="str">
            <v>16.6.42.</v>
          </cell>
          <cell r="G2675" t="str">
            <v xml:space="preserve">Instalação dos Equipamentos de Comunicação  </v>
          </cell>
          <cell r="H2675" t="str">
            <v xml:space="preserve">un    </v>
          </cell>
          <cell r="I2675">
            <v>1</v>
          </cell>
          <cell r="J2675">
            <v>5327.76</v>
          </cell>
          <cell r="K2675">
            <v>4458.96</v>
          </cell>
          <cell r="L2675">
            <v>5327.76</v>
          </cell>
        </row>
        <row r="2676">
          <cell r="D2676" t="str">
            <v xml:space="preserve">  P.201.            </v>
          </cell>
          <cell r="E2676" t="str">
            <v>CP4514</v>
          </cell>
          <cell r="F2676" t="str">
            <v>16.6.43.</v>
          </cell>
          <cell r="G2676" t="str">
            <v xml:space="preserve">Ligação dos cabos de instrumentação nas borneiras dos quadros dos CLP’s  </v>
          </cell>
          <cell r="H2676" t="str">
            <v xml:space="preserve">un    </v>
          </cell>
          <cell r="I2676">
            <v>1</v>
          </cell>
          <cell r="J2676">
            <v>5030.3599999999997</v>
          </cell>
          <cell r="K2676">
            <v>4207.17</v>
          </cell>
          <cell r="L2676">
            <v>5030.3599999999997</v>
          </cell>
        </row>
        <row r="2677">
          <cell r="D2677" t="str">
            <v xml:space="preserve">  P.202.            </v>
          </cell>
          <cell r="E2677" t="str">
            <v>CP1338</v>
          </cell>
          <cell r="F2677" t="str">
            <v>16.6.44.</v>
          </cell>
          <cell r="G2677" t="str">
            <v xml:space="preserve">Integração funcional dos módulos do sistema de automação  </v>
          </cell>
          <cell r="H2677" t="str">
            <v xml:space="preserve">un    </v>
          </cell>
          <cell r="I2677">
            <v>1</v>
          </cell>
          <cell r="J2677">
            <v>9893.1299999999992</v>
          </cell>
          <cell r="K2677">
            <v>8274.1</v>
          </cell>
          <cell r="L2677">
            <v>9893.1299999999992</v>
          </cell>
        </row>
        <row r="2678">
          <cell r="D2678" t="str">
            <v xml:space="preserve">  P.203.            </v>
          </cell>
          <cell r="E2678" t="str">
            <v>CP1224</v>
          </cell>
          <cell r="F2678" t="str">
            <v>16.6.45.</v>
          </cell>
          <cell r="G2678" t="str">
            <v xml:space="preserve">Pré-operação do sistema de automação  </v>
          </cell>
          <cell r="H2678" t="str">
            <v xml:space="preserve">un    </v>
          </cell>
          <cell r="I2678">
            <v>1</v>
          </cell>
          <cell r="J2678">
            <v>52391.43</v>
          </cell>
          <cell r="K2678">
            <v>74844.899999999994</v>
          </cell>
          <cell r="L2678">
            <v>52391.43</v>
          </cell>
        </row>
        <row r="2679">
          <cell r="D2679" t="str">
            <v xml:space="preserve">  P.204.            </v>
          </cell>
          <cell r="E2679" t="str">
            <v>CP1320</v>
          </cell>
          <cell r="F2679" t="str">
            <v>16.6.46.</v>
          </cell>
          <cell r="G2679" t="str">
            <v xml:space="preserve">Elaboração do Manual de operação e demais documentos do sistema de automação as-built  </v>
          </cell>
          <cell r="H2679" t="str">
            <v xml:space="preserve">un    </v>
          </cell>
          <cell r="I2679">
            <v>1</v>
          </cell>
          <cell r="J2679">
            <v>12009.65</v>
          </cell>
          <cell r="K2679">
            <v>10029.36</v>
          </cell>
          <cell r="L2679">
            <v>12009.65</v>
          </cell>
        </row>
        <row r="2680">
          <cell r="D2680" t="str">
            <v xml:space="preserve">  P.205.            </v>
          </cell>
          <cell r="E2680" t="str">
            <v xml:space="preserve">      </v>
          </cell>
          <cell r="F2680" t="str">
            <v>16.7.</v>
          </cell>
          <cell r="G2680" t="str">
            <v xml:space="preserve">Implantação Elétrica de Força  </v>
          </cell>
          <cell r="H2680" t="str">
            <v xml:space="preserve">      </v>
          </cell>
          <cell r="I2680">
            <v>0</v>
          </cell>
          <cell r="J2680">
            <v>0</v>
          </cell>
          <cell r="K2680">
            <v>0</v>
          </cell>
          <cell r="L2680">
            <v>0</v>
          </cell>
        </row>
        <row r="2681">
          <cell r="D2681" t="str">
            <v xml:space="preserve">  P.206.            </v>
          </cell>
          <cell r="E2681" t="str">
            <v xml:space="preserve">      </v>
          </cell>
          <cell r="F2681" t="str">
            <v>16.7.1.</v>
          </cell>
          <cell r="G2681" t="str">
            <v xml:space="preserve">Fornecimento e Instalação  </v>
          </cell>
          <cell r="H2681" t="str">
            <v xml:space="preserve">      </v>
          </cell>
          <cell r="I2681">
            <v>0</v>
          </cell>
          <cell r="J2681">
            <v>0</v>
          </cell>
          <cell r="K2681">
            <v>0</v>
          </cell>
          <cell r="L2681">
            <v>0</v>
          </cell>
        </row>
        <row r="2682">
          <cell r="D2682" t="str">
            <v xml:space="preserve">  P.207.            </v>
          </cell>
          <cell r="E2682" t="str">
            <v xml:space="preserve">      </v>
          </cell>
          <cell r="F2682" t="str">
            <v>16.7.2.</v>
          </cell>
          <cell r="G2682" t="str">
            <v xml:space="preserve">Eletrodutos  </v>
          </cell>
          <cell r="H2682" t="str">
            <v xml:space="preserve">      </v>
          </cell>
          <cell r="I2682">
            <v>0</v>
          </cell>
          <cell r="J2682">
            <v>0</v>
          </cell>
          <cell r="K2682">
            <v>0</v>
          </cell>
          <cell r="L2682">
            <v>0</v>
          </cell>
        </row>
        <row r="2683">
          <cell r="D2683" t="str">
            <v xml:space="preserve">  P.208.            </v>
          </cell>
          <cell r="E2683" t="str">
            <v xml:space="preserve">      </v>
          </cell>
          <cell r="F2683" t="str">
            <v>16.7.3.</v>
          </cell>
          <cell r="G2683" t="str">
            <v xml:space="preserve">Eletroduto PVC rígido rosca bsp ABNT 744 classe b NBR 6150 antichama com uma luva  </v>
          </cell>
          <cell r="H2683" t="str">
            <v xml:space="preserve">      </v>
          </cell>
          <cell r="I2683">
            <v>0</v>
          </cell>
          <cell r="J2683">
            <v>0</v>
          </cell>
          <cell r="K2683">
            <v>0</v>
          </cell>
          <cell r="L2683">
            <v>0</v>
          </cell>
        </row>
        <row r="2684">
          <cell r="D2684" t="str">
            <v xml:space="preserve">  P.209.            </v>
          </cell>
          <cell r="E2684" t="str">
            <v>CP1703</v>
          </cell>
          <cell r="F2684" t="str">
            <v>16.7.4.</v>
          </cell>
          <cell r="G2684" t="str">
            <v xml:space="preserve">Eletroduto PVC rígido rosca bsp ABNT 744 classe b NBR 6150 antichama com uma luva Dn (2) 50 mm  </v>
          </cell>
          <cell r="H2684" t="str">
            <v xml:space="preserve">pc    </v>
          </cell>
          <cell r="I2684">
            <v>235</v>
          </cell>
          <cell r="J2684">
            <v>40.590000000000003</v>
          </cell>
          <cell r="K2684">
            <v>57.98</v>
          </cell>
          <cell r="L2684">
            <v>9538.65</v>
          </cell>
        </row>
        <row r="2685">
          <cell r="D2685" t="str">
            <v xml:space="preserve">  P.210.            </v>
          </cell>
          <cell r="E2685" t="str">
            <v>CP1689</v>
          </cell>
          <cell r="F2685" t="str">
            <v>16.7.5.</v>
          </cell>
          <cell r="G2685" t="str">
            <v xml:space="preserve">Eletroduto PVC rígido rosca bsp ABNT 744 classe b NBR 6150 antichama com uma luva Dn (3) 75 mm  </v>
          </cell>
          <cell r="H2685" t="str">
            <v xml:space="preserve">pc    </v>
          </cell>
          <cell r="I2685">
            <v>910</v>
          </cell>
          <cell r="J2685">
            <v>91.68</v>
          </cell>
          <cell r="K2685">
            <v>130.97</v>
          </cell>
          <cell r="L2685">
            <v>83428.800000000003</v>
          </cell>
        </row>
        <row r="2686">
          <cell r="D2686" t="str">
            <v xml:space="preserve">  P.211.            </v>
          </cell>
          <cell r="E2686" t="str">
            <v>CP1682</v>
          </cell>
          <cell r="F2686" t="str">
            <v>16.7.6.</v>
          </cell>
          <cell r="G2686" t="str">
            <v xml:space="preserve">Eletroduto PVC rígido rosca bsp ABNT 744 classe b NBR 6150 antichama com uma luva Dn (4) 100 mm  </v>
          </cell>
          <cell r="H2686" t="str">
            <v xml:space="preserve">pc    </v>
          </cell>
          <cell r="I2686">
            <v>200</v>
          </cell>
          <cell r="J2686">
            <v>156.63</v>
          </cell>
          <cell r="K2686">
            <v>223.76</v>
          </cell>
          <cell r="L2686">
            <v>31326</v>
          </cell>
        </row>
        <row r="2687">
          <cell r="D2687" t="str">
            <v xml:space="preserve">  P.212.            </v>
          </cell>
          <cell r="E2687" t="str">
            <v>CP1803</v>
          </cell>
          <cell r="F2687" t="str">
            <v>16.7.7.</v>
          </cell>
          <cell r="G2687" t="str">
            <v xml:space="preserve">Curva eletroduto PVC rígido rosca bsp ABNT eb 744 classe b NBR 6150 antichama 90o dn (4) 100 mm  </v>
          </cell>
          <cell r="H2687" t="str">
            <v xml:space="preserve">pc    </v>
          </cell>
          <cell r="I2687">
            <v>8</v>
          </cell>
          <cell r="J2687">
            <v>60.35</v>
          </cell>
          <cell r="K2687">
            <v>50.5</v>
          </cell>
          <cell r="L2687">
            <v>482.8</v>
          </cell>
        </row>
        <row r="2688">
          <cell r="D2688" t="str">
            <v xml:space="preserve">  P.213.            </v>
          </cell>
          <cell r="E2688" t="str">
            <v xml:space="preserve">      </v>
          </cell>
          <cell r="F2688" t="str">
            <v>16.7.8.</v>
          </cell>
          <cell r="G2688" t="str">
            <v xml:space="preserve">Terminal em cobre  </v>
          </cell>
          <cell r="H2688" t="str">
            <v xml:space="preserve">      </v>
          </cell>
          <cell r="I2688">
            <v>0</v>
          </cell>
          <cell r="J2688">
            <v>0</v>
          </cell>
          <cell r="K2688">
            <v>0</v>
          </cell>
          <cell r="L2688">
            <v>0</v>
          </cell>
        </row>
        <row r="2689">
          <cell r="D2689" t="str">
            <v xml:space="preserve">  P.214.            </v>
          </cell>
          <cell r="E2689" t="str">
            <v>CP2259</v>
          </cell>
          <cell r="F2689" t="str">
            <v>16.7.9.</v>
          </cell>
          <cell r="G2689" t="str">
            <v xml:space="preserve">Terminal em cobre #16mm  </v>
          </cell>
          <cell r="H2689" t="str">
            <v xml:space="preserve">pc    </v>
          </cell>
          <cell r="I2689">
            <v>80</v>
          </cell>
          <cell r="J2689">
            <v>4.91</v>
          </cell>
          <cell r="K2689">
            <v>7.01</v>
          </cell>
          <cell r="L2689">
            <v>392.8</v>
          </cell>
        </row>
        <row r="2690">
          <cell r="D2690" t="str">
            <v xml:space="preserve">  P.215.            </v>
          </cell>
          <cell r="E2690" t="str">
            <v>CP2248</v>
          </cell>
          <cell r="F2690" t="str">
            <v>16.7.10.</v>
          </cell>
          <cell r="G2690" t="str">
            <v xml:space="preserve">Terminal em cobre #35mm  </v>
          </cell>
          <cell r="H2690" t="str">
            <v xml:space="preserve">pc    </v>
          </cell>
          <cell r="I2690">
            <v>2</v>
          </cell>
          <cell r="J2690">
            <v>5.59</v>
          </cell>
          <cell r="K2690">
            <v>6.9</v>
          </cell>
          <cell r="L2690">
            <v>11.18</v>
          </cell>
        </row>
        <row r="2691">
          <cell r="D2691" t="str">
            <v xml:space="preserve">  P.216.            </v>
          </cell>
          <cell r="E2691" t="str">
            <v>CP2233</v>
          </cell>
          <cell r="F2691" t="str">
            <v>16.7.11.</v>
          </cell>
          <cell r="G2691" t="str">
            <v xml:space="preserve">Terminal em cobre #50mm  </v>
          </cell>
          <cell r="H2691" t="str">
            <v xml:space="preserve">pc    </v>
          </cell>
          <cell r="I2691">
            <v>10</v>
          </cell>
          <cell r="J2691">
            <v>9.33</v>
          </cell>
          <cell r="K2691">
            <v>9.25</v>
          </cell>
          <cell r="L2691">
            <v>93.3</v>
          </cell>
        </row>
        <row r="2692">
          <cell r="D2692" t="str">
            <v xml:space="preserve">  P.217.            </v>
          </cell>
          <cell r="E2692" t="str">
            <v>CP2219</v>
          </cell>
          <cell r="F2692" t="str">
            <v>16.7.12.</v>
          </cell>
          <cell r="G2692" t="str">
            <v xml:space="preserve">Terminal em cobre #70mm  </v>
          </cell>
          <cell r="H2692" t="str">
            <v xml:space="preserve">pc    </v>
          </cell>
          <cell r="I2692">
            <v>14</v>
          </cell>
          <cell r="J2692">
            <v>9.94</v>
          </cell>
          <cell r="K2692">
            <v>10.82</v>
          </cell>
          <cell r="L2692">
            <v>139.16</v>
          </cell>
        </row>
        <row r="2693">
          <cell r="D2693" t="str">
            <v xml:space="preserve">  P.218.            </v>
          </cell>
          <cell r="E2693" t="str">
            <v>CP2142</v>
          </cell>
          <cell r="F2693" t="str">
            <v>16.7.13.</v>
          </cell>
          <cell r="G2693" t="str">
            <v xml:space="preserve">Terminal em cobre #95mm  </v>
          </cell>
          <cell r="H2693" t="str">
            <v xml:space="preserve">pc    </v>
          </cell>
          <cell r="I2693">
            <v>24</v>
          </cell>
          <cell r="J2693">
            <v>11.37</v>
          </cell>
          <cell r="K2693">
            <v>14.7</v>
          </cell>
          <cell r="L2693">
            <v>272.88</v>
          </cell>
        </row>
        <row r="2694">
          <cell r="D2694" t="str">
            <v xml:space="preserve">  P.219.            </v>
          </cell>
          <cell r="E2694" t="str">
            <v>CP2097</v>
          </cell>
          <cell r="F2694" t="str">
            <v>16.7.14.</v>
          </cell>
          <cell r="G2694" t="str">
            <v xml:space="preserve">Terminal em cobre #120mm  </v>
          </cell>
          <cell r="H2694" t="str">
            <v xml:space="preserve">pc    </v>
          </cell>
          <cell r="I2694">
            <v>10</v>
          </cell>
          <cell r="J2694">
            <v>16.79</v>
          </cell>
          <cell r="K2694">
            <v>19.690000000000001</v>
          </cell>
          <cell r="L2694">
            <v>167.9</v>
          </cell>
        </row>
        <row r="2695">
          <cell r="D2695" t="str">
            <v xml:space="preserve">  P.220.            </v>
          </cell>
          <cell r="E2695" t="str">
            <v>CP2117</v>
          </cell>
          <cell r="F2695" t="str">
            <v>16.7.15.</v>
          </cell>
          <cell r="G2695" t="str">
            <v xml:space="preserve">Terminal em cobre #150mm  </v>
          </cell>
          <cell r="H2695" t="str">
            <v xml:space="preserve">pc    </v>
          </cell>
          <cell r="I2695">
            <v>30</v>
          </cell>
          <cell r="J2695">
            <v>18.79</v>
          </cell>
          <cell r="K2695">
            <v>20.72</v>
          </cell>
          <cell r="L2695">
            <v>563.70000000000005</v>
          </cell>
        </row>
        <row r="2696">
          <cell r="D2696" t="str">
            <v xml:space="preserve">  P.221.            </v>
          </cell>
          <cell r="E2696" t="str">
            <v>CP2059</v>
          </cell>
          <cell r="F2696" t="str">
            <v>16.7.16.</v>
          </cell>
          <cell r="G2696" t="str">
            <v xml:space="preserve">Terminal em cobre #185mm  </v>
          </cell>
          <cell r="H2696" t="str">
            <v xml:space="preserve">pc    </v>
          </cell>
          <cell r="I2696">
            <v>10</v>
          </cell>
          <cell r="J2696">
            <v>20.239999999999998</v>
          </cell>
          <cell r="K2696">
            <v>23.87</v>
          </cell>
          <cell r="L2696">
            <v>202.4</v>
          </cell>
        </row>
        <row r="2697">
          <cell r="D2697" t="str">
            <v xml:space="preserve">  P.222.            </v>
          </cell>
          <cell r="E2697" t="str">
            <v>CP2056</v>
          </cell>
          <cell r="F2697" t="str">
            <v>16.7.17.</v>
          </cell>
          <cell r="G2697" t="str">
            <v xml:space="preserve">Terminal em cobre #240mm  </v>
          </cell>
          <cell r="H2697" t="str">
            <v xml:space="preserve">pc    </v>
          </cell>
          <cell r="I2697">
            <v>30</v>
          </cell>
          <cell r="J2697">
            <v>30.49</v>
          </cell>
          <cell r="K2697">
            <v>25.44</v>
          </cell>
          <cell r="L2697">
            <v>914.7</v>
          </cell>
        </row>
        <row r="2698">
          <cell r="D2698" t="str">
            <v xml:space="preserve">  P.223.            </v>
          </cell>
          <cell r="E2698" t="str">
            <v xml:space="preserve">      </v>
          </cell>
          <cell r="F2698" t="str">
            <v>16.7.18.</v>
          </cell>
          <cell r="G2698" t="str">
            <v xml:space="preserve">Serviço  </v>
          </cell>
          <cell r="H2698" t="str">
            <v xml:space="preserve">      </v>
          </cell>
          <cell r="I2698">
            <v>0</v>
          </cell>
          <cell r="J2698">
            <v>0</v>
          </cell>
          <cell r="K2698">
            <v>0</v>
          </cell>
          <cell r="L2698">
            <v>0</v>
          </cell>
        </row>
        <row r="2699">
          <cell r="D2699" t="str">
            <v xml:space="preserve">  P.224.            </v>
          </cell>
          <cell r="E2699" t="str">
            <v>CP1743</v>
          </cell>
          <cell r="F2699" t="str">
            <v>16.7.19.</v>
          </cell>
          <cell r="G2699" t="str">
            <v xml:space="preserve">Execução de caixa 1000x1000x1000 mm, fundo em brita e tampão FFT33  </v>
          </cell>
          <cell r="H2699" t="str">
            <v xml:space="preserve">pc    </v>
          </cell>
          <cell r="I2699">
            <v>15</v>
          </cell>
          <cell r="J2699">
            <v>247.59</v>
          </cell>
          <cell r="K2699">
            <v>353.7</v>
          </cell>
          <cell r="L2699">
            <v>3713.85</v>
          </cell>
        </row>
        <row r="2700">
          <cell r="D2700" t="str">
            <v xml:space="preserve">  P.225.            </v>
          </cell>
          <cell r="E2700" t="str">
            <v>CP2036</v>
          </cell>
          <cell r="F2700" t="str">
            <v>16.7.20.</v>
          </cell>
          <cell r="G2700" t="str">
            <v xml:space="preserve">Abertura e recobrimento de vala 600X600 mm  </v>
          </cell>
          <cell r="H2700" t="str">
            <v xml:space="preserve">m     </v>
          </cell>
          <cell r="I2700">
            <v>880</v>
          </cell>
          <cell r="J2700">
            <v>7.99</v>
          </cell>
          <cell r="K2700">
            <v>6.68</v>
          </cell>
          <cell r="L2700">
            <v>7031.2</v>
          </cell>
        </row>
        <row r="2701">
          <cell r="D2701" t="str">
            <v xml:space="preserve">  P.226.            </v>
          </cell>
          <cell r="E2701" t="str">
            <v xml:space="preserve">      </v>
          </cell>
          <cell r="F2701" t="str">
            <v>16.8.</v>
          </cell>
          <cell r="G2701" t="str">
            <v xml:space="preserve">Quadros Elétricos  </v>
          </cell>
          <cell r="H2701" t="str">
            <v xml:space="preserve">      </v>
          </cell>
          <cell r="I2701">
            <v>0</v>
          </cell>
          <cell r="J2701">
            <v>0</v>
          </cell>
          <cell r="K2701">
            <v>0</v>
          </cell>
          <cell r="L2701">
            <v>0</v>
          </cell>
        </row>
        <row r="2702">
          <cell r="D2702" t="str">
            <v xml:space="preserve">  P.227.            </v>
          </cell>
          <cell r="E2702" t="str">
            <v xml:space="preserve">      </v>
          </cell>
          <cell r="F2702" t="str">
            <v>16.8.1.</v>
          </cell>
          <cell r="G2702" t="str">
            <v xml:space="preserve">Fornecimento e instalação  </v>
          </cell>
          <cell r="H2702" t="str">
            <v xml:space="preserve">      </v>
          </cell>
          <cell r="I2702">
            <v>0</v>
          </cell>
          <cell r="J2702">
            <v>0</v>
          </cell>
          <cell r="K2702">
            <v>0</v>
          </cell>
          <cell r="L2702">
            <v>0</v>
          </cell>
        </row>
        <row r="2703">
          <cell r="D2703" t="str">
            <v xml:space="preserve">  P.228.            </v>
          </cell>
          <cell r="E2703" t="str">
            <v xml:space="preserve">      </v>
          </cell>
          <cell r="F2703" t="str">
            <v>16.8.2.</v>
          </cell>
          <cell r="G2703" t="str">
            <v xml:space="preserve">Painéis elétricos, conforme projeto e especificações do memorial descritivo  </v>
          </cell>
          <cell r="H2703" t="str">
            <v xml:space="preserve">      </v>
          </cell>
          <cell r="I2703">
            <v>0</v>
          </cell>
          <cell r="J2703">
            <v>0</v>
          </cell>
          <cell r="K2703">
            <v>0</v>
          </cell>
          <cell r="L2703">
            <v>0</v>
          </cell>
        </row>
        <row r="2704">
          <cell r="D2704" t="str">
            <v xml:space="preserve">  P.229.            </v>
          </cell>
          <cell r="E2704" t="str">
            <v xml:space="preserve">      </v>
          </cell>
          <cell r="F2704" t="str">
            <v>16.8.3.</v>
          </cell>
          <cell r="G2704" t="str">
            <v xml:space="preserve">Quadro de Comando de Motores  </v>
          </cell>
          <cell r="H2704" t="str">
            <v xml:space="preserve">      </v>
          </cell>
          <cell r="I2704">
            <v>0</v>
          </cell>
          <cell r="J2704">
            <v>0</v>
          </cell>
          <cell r="K2704">
            <v>0</v>
          </cell>
          <cell r="L2704">
            <v>0</v>
          </cell>
        </row>
        <row r="2705">
          <cell r="D2705" t="str">
            <v xml:space="preserve">  P.230.            </v>
          </cell>
          <cell r="E2705" t="str">
            <v>CP1181</v>
          </cell>
          <cell r="F2705" t="str">
            <v>16.8.1.</v>
          </cell>
          <cell r="G2705" t="str">
            <v xml:space="preserve">Quadro de Comando de Motores QF-EAT Buriti  </v>
          </cell>
          <cell r="H2705" t="str">
            <v xml:space="preserve">un    </v>
          </cell>
          <cell r="I2705">
            <v>1</v>
          </cell>
          <cell r="J2705">
            <v>540450.42000000004</v>
          </cell>
          <cell r="K2705">
            <v>489260.21</v>
          </cell>
          <cell r="L2705">
            <v>540450.42000000004</v>
          </cell>
        </row>
        <row r="2706">
          <cell r="D2706" t="str">
            <v xml:space="preserve">  P.231.            </v>
          </cell>
          <cell r="E2706" t="str">
            <v>CP1187</v>
          </cell>
          <cell r="F2706" t="str">
            <v>16.8.2.</v>
          </cell>
          <cell r="G2706" t="str">
            <v xml:space="preserve">Quadro de Comando de Motores QF-Flotadores  </v>
          </cell>
          <cell r="H2706" t="str">
            <v xml:space="preserve">un    </v>
          </cell>
          <cell r="I2706">
            <v>1</v>
          </cell>
          <cell r="J2706">
            <v>489362.09</v>
          </cell>
          <cell r="K2706">
            <v>412962.53</v>
          </cell>
          <cell r="L2706">
            <v>489362.09</v>
          </cell>
        </row>
        <row r="2707">
          <cell r="D2707" t="str">
            <v xml:space="preserve">  P.232.            </v>
          </cell>
          <cell r="E2707" t="str">
            <v>CP1193</v>
          </cell>
          <cell r="F2707" t="str">
            <v>16.8.3.</v>
          </cell>
          <cell r="G2707" t="str">
            <v xml:space="preserve">Quadro de Comando de Motores QF-Floculadores  </v>
          </cell>
          <cell r="H2707" t="str">
            <v xml:space="preserve">un    </v>
          </cell>
          <cell r="I2707">
            <v>1</v>
          </cell>
          <cell r="J2707">
            <v>241056.13</v>
          </cell>
          <cell r="K2707">
            <v>210703.03</v>
          </cell>
          <cell r="L2707">
            <v>241056.13</v>
          </cell>
        </row>
        <row r="2708">
          <cell r="D2708" t="str">
            <v xml:space="preserve">  P.233.            </v>
          </cell>
          <cell r="E2708" t="str">
            <v>CP1219</v>
          </cell>
          <cell r="F2708" t="str">
            <v>16.8.4.</v>
          </cell>
          <cell r="G2708" t="str">
            <v xml:space="preserve">Quadro de Comando de Motores QF-Bombas de Lodo  </v>
          </cell>
          <cell r="H2708" t="str">
            <v xml:space="preserve">un    </v>
          </cell>
          <cell r="I2708">
            <v>1</v>
          </cell>
          <cell r="J2708">
            <v>98703.23</v>
          </cell>
          <cell r="K2708">
            <v>94794.15</v>
          </cell>
          <cell r="L2708">
            <v>98703.23</v>
          </cell>
        </row>
        <row r="2709">
          <cell r="D2709" t="str">
            <v xml:space="preserve">  P.234.            </v>
          </cell>
          <cell r="E2709" t="str">
            <v>CP1261</v>
          </cell>
          <cell r="F2709" t="str">
            <v>16.8.5.</v>
          </cell>
          <cell r="G2709" t="str">
            <v xml:space="preserve">Quadro de Comando de Motores QF-Sistema de Lodo  </v>
          </cell>
          <cell r="H2709" t="str">
            <v xml:space="preserve">un    </v>
          </cell>
          <cell r="I2709">
            <v>1</v>
          </cell>
          <cell r="J2709">
            <v>55126.7</v>
          </cell>
          <cell r="K2709">
            <v>47463.68</v>
          </cell>
          <cell r="L2709">
            <v>55126.7</v>
          </cell>
        </row>
        <row r="2710">
          <cell r="D2710" t="str">
            <v xml:space="preserve">  P.235.            </v>
          </cell>
          <cell r="E2710" t="str">
            <v>CP1222</v>
          </cell>
          <cell r="F2710" t="str">
            <v>16.8.6.</v>
          </cell>
          <cell r="G2710" t="str">
            <v xml:space="preserve">Quadro de Comando de Motores QF-Armazenamento  </v>
          </cell>
          <cell r="H2710" t="str">
            <v xml:space="preserve">un    </v>
          </cell>
          <cell r="I2710">
            <v>1</v>
          </cell>
          <cell r="J2710">
            <v>117097.87</v>
          </cell>
          <cell r="K2710">
            <v>99912.87</v>
          </cell>
          <cell r="L2710">
            <v>117097.87</v>
          </cell>
        </row>
        <row r="2711">
          <cell r="D2711" t="str">
            <v xml:space="preserve">  P.236.            </v>
          </cell>
          <cell r="E2711" t="str">
            <v>CP1213</v>
          </cell>
          <cell r="F2711" t="str">
            <v>16.8.7.</v>
          </cell>
          <cell r="G2711" t="str">
            <v xml:space="preserve">Quadro de Comando de Motores QF-Casa de Química  </v>
          </cell>
          <cell r="H2711" t="str">
            <v xml:space="preserve">un    </v>
          </cell>
          <cell r="I2711">
            <v>1</v>
          </cell>
          <cell r="J2711">
            <v>94044.85</v>
          </cell>
          <cell r="K2711">
            <v>90207.33</v>
          </cell>
          <cell r="L2711">
            <v>94044.85</v>
          </cell>
        </row>
        <row r="2712">
          <cell r="D2712" t="str">
            <v xml:space="preserve">  P.238.            </v>
          </cell>
          <cell r="E2712" t="str">
            <v>CP1335</v>
          </cell>
          <cell r="F2712" t="str">
            <v>16.8.9.</v>
          </cell>
          <cell r="G2712" t="str">
            <v xml:space="preserve">Quadro de Comando de Motores QF-Válvulas  </v>
          </cell>
          <cell r="H2712" t="str">
            <v xml:space="preserve">un    </v>
          </cell>
          <cell r="I2712">
            <v>1</v>
          </cell>
          <cell r="J2712">
            <v>23314.9</v>
          </cell>
          <cell r="K2712">
            <v>19432.150000000001</v>
          </cell>
          <cell r="L2712">
            <v>23314.9</v>
          </cell>
        </row>
        <row r="2713">
          <cell r="D2713" t="str">
            <v xml:space="preserve">  P.239.            </v>
          </cell>
          <cell r="E2713" t="str">
            <v>CP1212</v>
          </cell>
          <cell r="F2713" t="str">
            <v>16.8.10.</v>
          </cell>
          <cell r="G2713" t="str">
            <v xml:space="preserve">Quadro de Comando de Motores QF-Bombas de Lavagem e Sopradores  </v>
          </cell>
          <cell r="H2713" t="str">
            <v xml:space="preserve">un    </v>
          </cell>
          <cell r="I2713">
            <v>1</v>
          </cell>
          <cell r="J2713">
            <v>201943.55</v>
          </cell>
          <cell r="K2713">
            <v>183472.59</v>
          </cell>
          <cell r="L2713">
            <v>201943.55</v>
          </cell>
        </row>
        <row r="2714">
          <cell r="D2714" t="str">
            <v xml:space="preserve">  P.240.            </v>
          </cell>
          <cell r="E2714" t="str">
            <v xml:space="preserve">      </v>
          </cell>
          <cell r="F2714" t="str">
            <v>16.8.14.</v>
          </cell>
          <cell r="G2714" t="str">
            <v xml:space="preserve">Painéis de Instrumentos  </v>
          </cell>
          <cell r="H2714" t="str">
            <v xml:space="preserve">      </v>
          </cell>
          <cell r="I2714">
            <v>0</v>
          </cell>
          <cell r="J2714">
            <v>0</v>
          </cell>
          <cell r="K2714">
            <v>0</v>
          </cell>
          <cell r="L2714">
            <v>0</v>
          </cell>
        </row>
        <row r="2715">
          <cell r="D2715" t="str">
            <v xml:space="preserve">  P.241.            </v>
          </cell>
          <cell r="E2715" t="str">
            <v>CP1342</v>
          </cell>
          <cell r="F2715" t="str">
            <v>16.8.11.</v>
          </cell>
          <cell r="G2715" t="str">
            <v xml:space="preserve">Painéis de Instrumentos Painel dos Medidores  </v>
          </cell>
          <cell r="H2715" t="str">
            <v xml:space="preserve">un    </v>
          </cell>
          <cell r="I2715">
            <v>1</v>
          </cell>
          <cell r="J2715">
            <v>16407.45</v>
          </cell>
          <cell r="K2715">
            <v>13910.01</v>
          </cell>
          <cell r="L2715">
            <v>16407.45</v>
          </cell>
        </row>
        <row r="2716">
          <cell r="D2716" t="str">
            <v xml:space="preserve">  P.242.            </v>
          </cell>
          <cell r="E2716" t="str">
            <v>CP1325</v>
          </cell>
          <cell r="F2716" t="str">
            <v>16.8.12.</v>
          </cell>
          <cell r="G2716" t="str">
            <v xml:space="preserve">Painéis de Instrumentos Painel da Remota do Pré-Tratamento  </v>
          </cell>
          <cell r="H2716" t="str">
            <v xml:space="preserve">un    </v>
          </cell>
          <cell r="I2716">
            <v>1</v>
          </cell>
          <cell r="J2716">
            <v>191237.76000000001</v>
          </cell>
          <cell r="K2716">
            <v>171750.73</v>
          </cell>
          <cell r="L2716">
            <v>191237.76000000001</v>
          </cell>
        </row>
        <row r="2717">
          <cell r="D2717" t="str">
            <v xml:space="preserve">  P.243.            </v>
          </cell>
          <cell r="E2717" t="str">
            <v xml:space="preserve">      </v>
          </cell>
          <cell r="F2717" t="str">
            <v>16.8.17.</v>
          </cell>
          <cell r="G2717" t="str">
            <v xml:space="preserve">Quadro de Distribuição de Circuitos  </v>
          </cell>
          <cell r="H2717" t="str">
            <v xml:space="preserve">      </v>
          </cell>
          <cell r="I2717">
            <v>0</v>
          </cell>
          <cell r="J2717">
            <v>0</v>
          </cell>
          <cell r="K2717">
            <v>0</v>
          </cell>
          <cell r="L2717">
            <v>0</v>
          </cell>
        </row>
        <row r="2718">
          <cell r="D2718" t="str">
            <v xml:space="preserve">  P.244.            </v>
          </cell>
          <cell r="E2718" t="str">
            <v>CP1339</v>
          </cell>
          <cell r="F2718" t="str">
            <v>16.8.13.</v>
          </cell>
          <cell r="G2718" t="str">
            <v xml:space="preserve">Quadro de Distribuição de Circuitos QDC-01  </v>
          </cell>
          <cell r="H2718" t="str">
            <v xml:space="preserve">un    </v>
          </cell>
          <cell r="I2718">
            <v>1</v>
          </cell>
          <cell r="J2718">
            <v>8905.4599999999991</v>
          </cell>
          <cell r="K2718">
            <v>8663.9599999999991</v>
          </cell>
          <cell r="L2718">
            <v>8905.4599999999991</v>
          </cell>
        </row>
        <row r="2719">
          <cell r="D2719" t="str">
            <v xml:space="preserve">  P.245.            </v>
          </cell>
          <cell r="E2719" t="str">
            <v>CP1386</v>
          </cell>
          <cell r="F2719" t="str">
            <v>16.8.14.</v>
          </cell>
          <cell r="G2719" t="str">
            <v xml:space="preserve">Quadro de Distribuição de Circuitos QDC-02  </v>
          </cell>
          <cell r="H2719" t="str">
            <v xml:space="preserve">un    </v>
          </cell>
          <cell r="I2719">
            <v>1</v>
          </cell>
          <cell r="J2719">
            <v>7458.9</v>
          </cell>
          <cell r="K2719">
            <v>7615.21</v>
          </cell>
          <cell r="L2719">
            <v>7458.9</v>
          </cell>
        </row>
        <row r="2720">
          <cell r="D2720" t="str">
            <v xml:space="preserve">  P.246.            </v>
          </cell>
          <cell r="E2720" t="str">
            <v>CP1341</v>
          </cell>
          <cell r="F2720" t="str">
            <v>16.8.15.</v>
          </cell>
          <cell r="G2720" t="str">
            <v xml:space="preserve">Quadro de Distribuição de Circuitos QDC-03  </v>
          </cell>
          <cell r="H2720" t="str">
            <v xml:space="preserve">un    </v>
          </cell>
          <cell r="I2720">
            <v>1</v>
          </cell>
          <cell r="J2720">
            <v>8074.56</v>
          </cell>
          <cell r="K2720">
            <v>9173.6299999999992</v>
          </cell>
          <cell r="L2720">
            <v>8074.56</v>
          </cell>
        </row>
        <row r="2721">
          <cell r="D2721" t="str">
            <v xml:space="preserve">  P.247.            </v>
          </cell>
          <cell r="E2721" t="str">
            <v>CP1410</v>
          </cell>
          <cell r="F2721" t="str">
            <v>16.8.16.</v>
          </cell>
          <cell r="G2721" t="str">
            <v xml:space="preserve">Quadro de Distribuição de Circuitos QDC-04  </v>
          </cell>
          <cell r="H2721" t="str">
            <v xml:space="preserve">un    </v>
          </cell>
          <cell r="I2721">
            <v>1</v>
          </cell>
          <cell r="J2721">
            <v>7847.38</v>
          </cell>
          <cell r="K2721">
            <v>6657.75</v>
          </cell>
          <cell r="L2721">
            <v>7847.38</v>
          </cell>
        </row>
        <row r="2722">
          <cell r="D2722" t="str">
            <v xml:space="preserve">  P.248.            </v>
          </cell>
          <cell r="E2722" t="str">
            <v>CP1415</v>
          </cell>
          <cell r="F2722" t="str">
            <v>16.8.17.</v>
          </cell>
          <cell r="G2722" t="str">
            <v xml:space="preserve">Quadro de Distribuição de Circuitos QDC-05  </v>
          </cell>
          <cell r="H2722" t="str">
            <v xml:space="preserve">un    </v>
          </cell>
          <cell r="I2722">
            <v>1</v>
          </cell>
          <cell r="J2722">
            <v>7548.52</v>
          </cell>
          <cell r="K2722">
            <v>6639.93</v>
          </cell>
          <cell r="L2722">
            <v>7548.52</v>
          </cell>
        </row>
        <row r="2723">
          <cell r="D2723" t="str">
            <v xml:space="preserve">  P.249.            </v>
          </cell>
          <cell r="E2723" t="str">
            <v>CP1421</v>
          </cell>
          <cell r="F2723" t="str">
            <v>16.8.18.</v>
          </cell>
          <cell r="G2723" t="str">
            <v xml:space="preserve">Quadro de Distribuição de Circuitos QDC-06  </v>
          </cell>
          <cell r="H2723" t="str">
            <v xml:space="preserve">un    </v>
          </cell>
          <cell r="I2723">
            <v>1</v>
          </cell>
          <cell r="J2723">
            <v>5694.2</v>
          </cell>
          <cell r="K2723">
            <v>4780.66</v>
          </cell>
          <cell r="L2723">
            <v>5694.2</v>
          </cell>
        </row>
        <row r="2724">
          <cell r="D2724" t="str">
            <v xml:space="preserve">  P.250.            </v>
          </cell>
          <cell r="E2724" t="str">
            <v>CP1241</v>
          </cell>
          <cell r="F2724" t="str">
            <v>16.8.19.</v>
          </cell>
          <cell r="G2724" t="str">
            <v xml:space="preserve">Quadro de Distribuição de Circuitos QDGN-Pré-Tratamento  </v>
          </cell>
          <cell r="H2724" t="str">
            <v xml:space="preserve">un    </v>
          </cell>
          <cell r="I2724">
            <v>1</v>
          </cell>
          <cell r="J2724">
            <v>83135.5</v>
          </cell>
          <cell r="K2724">
            <v>69280.58</v>
          </cell>
          <cell r="L2724">
            <v>83135.5</v>
          </cell>
        </row>
        <row r="2725">
          <cell r="D2725" t="str">
            <v xml:space="preserve">  P.251.            </v>
          </cell>
          <cell r="E2725" t="str">
            <v>CP1231</v>
          </cell>
          <cell r="F2725" t="str">
            <v>16.8.20.</v>
          </cell>
          <cell r="G2725" t="str">
            <v xml:space="preserve">Quadro de Distribuição de Circuitos QDGN-Administração  </v>
          </cell>
          <cell r="H2725" t="str">
            <v xml:space="preserve">un    </v>
          </cell>
          <cell r="I2725">
            <v>1</v>
          </cell>
          <cell r="J2725">
            <v>96410.69</v>
          </cell>
          <cell r="K2725">
            <v>80665.56</v>
          </cell>
          <cell r="L2725">
            <v>96410.69</v>
          </cell>
        </row>
        <row r="2726">
          <cell r="D2726" t="str">
            <v xml:space="preserve">  P.252.            </v>
          </cell>
          <cell r="E2726" t="str">
            <v>CP1379</v>
          </cell>
          <cell r="F2726" t="str">
            <v>16.8.21.</v>
          </cell>
          <cell r="G2726" t="str">
            <v xml:space="preserve">Quadro de Distribuição de Circuitos DGE/ES-Administração  </v>
          </cell>
          <cell r="H2726" t="str">
            <v xml:space="preserve">un    </v>
          </cell>
          <cell r="I2726">
            <v>1</v>
          </cell>
          <cell r="J2726">
            <v>10852.05</v>
          </cell>
          <cell r="K2726">
            <v>9271.85</v>
          </cell>
          <cell r="L2726">
            <v>10852.05</v>
          </cell>
        </row>
        <row r="2727">
          <cell r="D2727" t="str">
            <v xml:space="preserve">  P.253.            </v>
          </cell>
          <cell r="E2727" t="str">
            <v xml:space="preserve">      </v>
          </cell>
          <cell r="F2727" t="str">
            <v>16.9.</v>
          </cell>
          <cell r="G2727" t="str">
            <v xml:space="preserve">Flotadores e Floculadores  </v>
          </cell>
          <cell r="H2727" t="str">
            <v xml:space="preserve">      </v>
          </cell>
          <cell r="I2727">
            <v>0</v>
          </cell>
          <cell r="J2727">
            <v>0</v>
          </cell>
          <cell r="K2727">
            <v>0</v>
          </cell>
          <cell r="L2727">
            <v>0</v>
          </cell>
        </row>
        <row r="2728">
          <cell r="D2728" t="str">
            <v xml:space="preserve">  P.254.            </v>
          </cell>
          <cell r="E2728" t="str">
            <v xml:space="preserve">      </v>
          </cell>
          <cell r="F2728" t="str">
            <v>16.9.1.</v>
          </cell>
          <cell r="G2728" t="str">
            <v xml:space="preserve">Fornecimento e instalação  </v>
          </cell>
          <cell r="H2728" t="str">
            <v xml:space="preserve">      </v>
          </cell>
          <cell r="I2728">
            <v>0</v>
          </cell>
          <cell r="J2728">
            <v>0</v>
          </cell>
          <cell r="K2728">
            <v>0</v>
          </cell>
          <cell r="L2728">
            <v>0</v>
          </cell>
        </row>
        <row r="2729">
          <cell r="D2729" t="str">
            <v xml:space="preserve">  P.255.            </v>
          </cell>
          <cell r="E2729" t="str">
            <v xml:space="preserve">      </v>
          </cell>
          <cell r="F2729" t="str">
            <v>16.9.2.</v>
          </cell>
          <cell r="G2729" t="str">
            <v xml:space="preserve">Eletrodutos e acessórios  </v>
          </cell>
          <cell r="H2729" t="str">
            <v xml:space="preserve">      </v>
          </cell>
          <cell r="I2729">
            <v>0</v>
          </cell>
          <cell r="J2729">
            <v>0</v>
          </cell>
          <cell r="K2729">
            <v>0</v>
          </cell>
          <cell r="L2729">
            <v>0</v>
          </cell>
        </row>
        <row r="2730">
          <cell r="D2730" t="str">
            <v xml:space="preserve">  P.256.            </v>
          </cell>
          <cell r="E2730" t="str">
            <v xml:space="preserve">      </v>
          </cell>
          <cell r="F2730" t="str">
            <v>16.9.3.</v>
          </cell>
          <cell r="G2730" t="str">
            <v xml:space="preserve">Eletroduto PVC rígido rosca bsp ABNT 744 classe b NBR 6150 antichama com uma luva  </v>
          </cell>
          <cell r="H2730" t="str">
            <v xml:space="preserve">      </v>
          </cell>
          <cell r="I2730">
            <v>0</v>
          </cell>
          <cell r="J2730">
            <v>0</v>
          </cell>
          <cell r="K2730">
            <v>0</v>
          </cell>
          <cell r="L2730">
            <v>0</v>
          </cell>
        </row>
        <row r="2731">
          <cell r="D2731" t="str">
            <v xml:space="preserve">  P.257.            </v>
          </cell>
          <cell r="E2731" t="str">
            <v>CP1703</v>
          </cell>
          <cell r="F2731" t="str">
            <v>16.9.4.</v>
          </cell>
          <cell r="G2731" t="str">
            <v xml:space="preserve">Eletroduto PVC rígido rosca bsp ABNT 744 classe b NBR 6150 antichama com uma luva Dn (2) 50 mm  </v>
          </cell>
          <cell r="H2731" t="str">
            <v xml:space="preserve">pc    </v>
          </cell>
          <cell r="I2731">
            <v>12</v>
          </cell>
          <cell r="J2731">
            <v>40.590000000000003</v>
          </cell>
          <cell r="K2731">
            <v>57.98</v>
          </cell>
          <cell r="L2731">
            <v>487.08</v>
          </cell>
        </row>
        <row r="2732">
          <cell r="D2732" t="str">
            <v xml:space="preserve">  P.258.            </v>
          </cell>
          <cell r="E2732" t="str">
            <v>CP1689</v>
          </cell>
          <cell r="F2732" t="str">
            <v>16.9.5.</v>
          </cell>
          <cell r="G2732" t="str">
            <v xml:space="preserve">Eletroduto PVC rígido rosca bsp ABNT 744 classe b NBR 6150 antichama com uma luva Dn (3) 75 m  </v>
          </cell>
          <cell r="H2732" t="str">
            <v xml:space="preserve">pc    </v>
          </cell>
          <cell r="I2732">
            <v>160</v>
          </cell>
          <cell r="J2732">
            <v>91.68</v>
          </cell>
          <cell r="K2732">
            <v>130.97</v>
          </cell>
          <cell r="L2732">
            <v>14668.8</v>
          </cell>
        </row>
        <row r="2733">
          <cell r="D2733" t="str">
            <v xml:space="preserve">  P.259.            </v>
          </cell>
          <cell r="E2733" t="str">
            <v xml:space="preserve">      </v>
          </cell>
          <cell r="F2733" t="str">
            <v>16.9.6.</v>
          </cell>
          <cell r="G2733" t="str">
            <v xml:space="preserve">Eletroduto aço carbono com costura ABNT NBR 5624 pesado classe i, zincado, com uma luva, parede de espessura 3,75 mm, comp. de 3000 mm  </v>
          </cell>
          <cell r="H2733" t="str">
            <v xml:space="preserve">      </v>
          </cell>
          <cell r="I2733">
            <v>0</v>
          </cell>
          <cell r="J2733">
            <v>0</v>
          </cell>
          <cell r="K2733">
            <v>0</v>
          </cell>
          <cell r="L2733">
            <v>0</v>
          </cell>
        </row>
        <row r="2734">
          <cell r="D2734" t="str">
            <v xml:space="preserve">  P.260.            </v>
          </cell>
          <cell r="E2734" t="str">
            <v>CP1970</v>
          </cell>
          <cell r="F2734" t="str">
            <v>16.9.7.</v>
          </cell>
          <cell r="G2734" t="str">
            <v xml:space="preserve">Eletroduto aço carbono com costura ABNT NBR 5624 pesado classe i, zincado, com uma luva, parede de espessura 3,75 mm, comp. de 3000 mm Dn (3/4) 20 mm  </v>
          </cell>
          <cell r="H2734" t="str">
            <v xml:space="preserve">m     </v>
          </cell>
          <cell r="I2734">
            <v>15</v>
          </cell>
          <cell r="J2734">
            <v>11.9</v>
          </cell>
          <cell r="K2734">
            <v>9.9600000000000009</v>
          </cell>
          <cell r="L2734">
            <v>178.5</v>
          </cell>
        </row>
        <row r="2735">
          <cell r="D2735" t="str">
            <v xml:space="preserve">  P.261.            </v>
          </cell>
          <cell r="E2735" t="str">
            <v>CP1940</v>
          </cell>
          <cell r="F2735" t="str">
            <v>16.9.8.</v>
          </cell>
          <cell r="G2735" t="str">
            <v xml:space="preserve">Eletroduto aço carbono com costura ABNT NBR 5624 pesado classe i, zincado, com uma luva, parede de espessura 3,75 mm, comp. de 3000 mm Dn (1) 25 mm  </v>
          </cell>
          <cell r="H2735" t="str">
            <v xml:space="preserve">m     </v>
          </cell>
          <cell r="I2735">
            <v>165</v>
          </cell>
          <cell r="J2735">
            <v>15.57</v>
          </cell>
          <cell r="K2735">
            <v>13.06</v>
          </cell>
          <cell r="L2735">
            <v>2569.0500000000002</v>
          </cell>
        </row>
        <row r="2736">
          <cell r="D2736" t="str">
            <v xml:space="preserve">  P.262.            </v>
          </cell>
          <cell r="E2736" t="str">
            <v>CP1818</v>
          </cell>
          <cell r="F2736" t="str">
            <v>16.9.9.</v>
          </cell>
          <cell r="G2736" t="str">
            <v xml:space="preserve">Eletroduto aço carbono com costura ABNT NBR 5624 pesado classe i, zincado, com uma luva, parede de espessura 3,75 mm, comp. de 3000 mm Dn (2) 50 mm  </v>
          </cell>
          <cell r="H2736" t="str">
            <v xml:space="preserve">m     </v>
          </cell>
          <cell r="I2736">
            <v>17</v>
          </cell>
          <cell r="J2736">
            <v>34.049999999999997</v>
          </cell>
          <cell r="K2736">
            <v>28.54</v>
          </cell>
          <cell r="L2736">
            <v>578.85</v>
          </cell>
        </row>
        <row r="2737">
          <cell r="D2737" t="str">
            <v xml:space="preserve">  P.263.            </v>
          </cell>
          <cell r="E2737" t="str">
            <v xml:space="preserve">      </v>
          </cell>
          <cell r="F2737" t="str">
            <v>16.9.10.</v>
          </cell>
          <cell r="G2737" t="str">
            <v xml:space="preserve">Curva 90o aço carbono com costura ABNT 5624 pesado classe i zincados  </v>
          </cell>
          <cell r="H2737" t="str">
            <v xml:space="preserve">      </v>
          </cell>
          <cell r="I2737">
            <v>0</v>
          </cell>
          <cell r="J2737">
            <v>0</v>
          </cell>
          <cell r="K2737">
            <v>0</v>
          </cell>
          <cell r="L2737">
            <v>0</v>
          </cell>
        </row>
        <row r="2738">
          <cell r="D2738" t="str">
            <v xml:space="preserve">  P.264.            </v>
          </cell>
          <cell r="E2738" t="str">
            <v>CP2004</v>
          </cell>
          <cell r="F2738" t="str">
            <v>16.9.11.</v>
          </cell>
          <cell r="G2738" t="str">
            <v xml:space="preserve">Curva 90o aço carbono com costura ABNT 5624 pesado classe i zincados Dn (1) 25 mm  </v>
          </cell>
          <cell r="H2738" t="str">
            <v xml:space="preserve">pc    </v>
          </cell>
          <cell r="I2738">
            <v>2</v>
          </cell>
          <cell r="J2738">
            <v>9.9600000000000009</v>
          </cell>
          <cell r="K2738">
            <v>13.44</v>
          </cell>
          <cell r="L2738">
            <v>19.920000000000002</v>
          </cell>
        </row>
        <row r="2739">
          <cell r="D2739" t="str">
            <v xml:space="preserve">  P.265.            </v>
          </cell>
          <cell r="E2739" t="str">
            <v xml:space="preserve">      </v>
          </cell>
          <cell r="F2739" t="str">
            <v>16.9.12.</v>
          </cell>
          <cell r="G2739" t="str">
            <v xml:space="preserve">Bucha e arruela ferro galvanizado  </v>
          </cell>
          <cell r="H2739" t="str">
            <v xml:space="preserve">      </v>
          </cell>
          <cell r="I2739">
            <v>0</v>
          </cell>
          <cell r="J2739">
            <v>0</v>
          </cell>
          <cell r="K2739">
            <v>0</v>
          </cell>
          <cell r="L2739">
            <v>0</v>
          </cell>
        </row>
        <row r="2740">
          <cell r="D2740" t="str">
            <v xml:space="preserve">  P.266.            </v>
          </cell>
          <cell r="E2740" t="str">
            <v>CP2311</v>
          </cell>
          <cell r="F2740" t="str">
            <v>16.9.13.</v>
          </cell>
          <cell r="G2740" t="str">
            <v xml:space="preserve">Bucha e arruela ferro galvanizado Dn (3/4) 20 mm  </v>
          </cell>
          <cell r="H2740" t="str">
            <v xml:space="preserve">pc    </v>
          </cell>
          <cell r="I2740">
            <v>10</v>
          </cell>
          <cell r="J2740">
            <v>1.03</v>
          </cell>
          <cell r="K2740">
            <v>1.32</v>
          </cell>
          <cell r="L2740">
            <v>10.3</v>
          </cell>
        </row>
        <row r="2741">
          <cell r="D2741" t="str">
            <v xml:space="preserve">  P.267.            </v>
          </cell>
          <cell r="E2741" t="str">
            <v>CP2293</v>
          </cell>
          <cell r="F2741" t="str">
            <v>16.9.14.</v>
          </cell>
          <cell r="G2741" t="str">
            <v xml:space="preserve">Bucha e arruela ferro galvanizado Dn (1) 25 mm  </v>
          </cell>
          <cell r="H2741" t="str">
            <v xml:space="preserve">pc    </v>
          </cell>
          <cell r="I2741">
            <v>100</v>
          </cell>
          <cell r="J2741">
            <v>1.35</v>
          </cell>
          <cell r="K2741">
            <v>1.64</v>
          </cell>
          <cell r="L2741">
            <v>135</v>
          </cell>
        </row>
        <row r="2742">
          <cell r="D2742" t="str">
            <v xml:space="preserve">  P.268.            </v>
          </cell>
          <cell r="E2742" t="str">
            <v xml:space="preserve">      </v>
          </cell>
          <cell r="F2742" t="str">
            <v>16.9.15.</v>
          </cell>
          <cell r="G2742" t="str">
            <v xml:space="preserve">Braçadeira tipo d  </v>
          </cell>
          <cell r="H2742" t="str">
            <v xml:space="preserve">      </v>
          </cell>
          <cell r="I2742">
            <v>0</v>
          </cell>
          <cell r="J2742">
            <v>0</v>
          </cell>
          <cell r="K2742">
            <v>0</v>
          </cell>
          <cell r="L2742">
            <v>0</v>
          </cell>
        </row>
        <row r="2743">
          <cell r="D2743" t="str">
            <v xml:space="preserve">  P.269.            </v>
          </cell>
          <cell r="E2743" t="str">
            <v>CP2297</v>
          </cell>
          <cell r="F2743" t="str">
            <v>16.9.16.</v>
          </cell>
          <cell r="G2743" t="str">
            <v xml:space="preserve">Braçadeira tipo d Dn (3/4) 20 mm  </v>
          </cell>
          <cell r="H2743" t="str">
            <v xml:space="preserve">pc    </v>
          </cell>
          <cell r="I2743">
            <v>8</v>
          </cell>
          <cell r="J2743">
            <v>5.17</v>
          </cell>
          <cell r="K2743">
            <v>7.38</v>
          </cell>
          <cell r="L2743">
            <v>41.36</v>
          </cell>
        </row>
        <row r="2744">
          <cell r="D2744" t="str">
            <v xml:space="preserve">  P.270.            </v>
          </cell>
          <cell r="E2744" t="str">
            <v xml:space="preserve">      </v>
          </cell>
          <cell r="F2744" t="str">
            <v>16.9.17.</v>
          </cell>
          <cell r="G2744" t="str">
            <v xml:space="preserve">Cabos e acessórios  </v>
          </cell>
          <cell r="H2744" t="str">
            <v xml:space="preserve">      </v>
          </cell>
          <cell r="I2744">
            <v>0</v>
          </cell>
          <cell r="J2744">
            <v>0</v>
          </cell>
          <cell r="K2744">
            <v>0</v>
          </cell>
          <cell r="L2744">
            <v>0</v>
          </cell>
        </row>
        <row r="2745">
          <cell r="D2745" t="str">
            <v xml:space="preserve">  P.271.            </v>
          </cell>
          <cell r="E2745" t="str">
            <v xml:space="preserve">      </v>
          </cell>
          <cell r="F2745" t="str">
            <v>16.9.18.</v>
          </cell>
          <cell r="G2745" t="str">
            <v xml:space="preserve">Cabo cobre, tempera mole, EPR, 90oc, 0,6/1kV Pirelli Afumex ou equivalente  </v>
          </cell>
          <cell r="H2745" t="str">
            <v xml:space="preserve">      </v>
          </cell>
          <cell r="I2745">
            <v>0</v>
          </cell>
          <cell r="J2745">
            <v>0</v>
          </cell>
          <cell r="K2745">
            <v>0</v>
          </cell>
          <cell r="L2745">
            <v>0</v>
          </cell>
        </row>
        <row r="2746">
          <cell r="D2746" t="str">
            <v xml:space="preserve">  P.272.            </v>
          </cell>
          <cell r="E2746" t="str">
            <v>CP5032</v>
          </cell>
          <cell r="F2746" t="str">
            <v>16.9.20.</v>
          </cell>
          <cell r="G2746" t="str">
            <v xml:space="preserve">Cabo cobre, tempera mole, EPR, 90oc, 0,6/1kV Pirelli Afumex ou equivalente 1x4(2,5mm)  </v>
          </cell>
          <cell r="H2746" t="str">
            <v xml:space="preserve">m     </v>
          </cell>
          <cell r="I2746">
            <v>2065</v>
          </cell>
          <cell r="J2746">
            <v>7.28</v>
          </cell>
          <cell r="K2746">
            <v>6.09</v>
          </cell>
          <cell r="L2746">
            <v>15033.2</v>
          </cell>
        </row>
        <row r="2747">
          <cell r="D2747" t="str">
            <v xml:space="preserve">  P.273.            </v>
          </cell>
          <cell r="E2747" t="str">
            <v>CP5034</v>
          </cell>
          <cell r="F2747" t="str">
            <v>16.9.21.</v>
          </cell>
          <cell r="G2747" t="str">
            <v xml:space="preserve">Cabo cobre, tempera mole, EPR, 90oc, 0,6/1kV Pirelli Afumex ou equivalente 1x4(4,0mm)  </v>
          </cell>
          <cell r="H2747" t="str">
            <v xml:space="preserve">m     </v>
          </cell>
          <cell r="I2747">
            <v>160</v>
          </cell>
          <cell r="J2747">
            <v>10.82</v>
          </cell>
          <cell r="K2747">
            <v>9.0299999999999994</v>
          </cell>
          <cell r="L2747">
            <v>1731.2</v>
          </cell>
        </row>
        <row r="2748">
          <cell r="D2748" t="str">
            <v xml:space="preserve">  P.274.            </v>
          </cell>
          <cell r="E2748" t="str">
            <v>CP5035</v>
          </cell>
          <cell r="F2748" t="str">
            <v>16.9.22.</v>
          </cell>
          <cell r="G2748" t="str">
            <v xml:space="preserve">Cabo cobre, tempera mole, EPR, 90oc, 0,6/1kV Pirelli Afumex ou equivalente 1x4(6,0mm)  </v>
          </cell>
          <cell r="H2748" t="str">
            <v xml:space="preserve">m     </v>
          </cell>
          <cell r="I2748">
            <v>2560</v>
          </cell>
          <cell r="J2748">
            <v>13.9</v>
          </cell>
          <cell r="K2748">
            <v>11.61</v>
          </cell>
          <cell r="L2748">
            <v>35584</v>
          </cell>
        </row>
        <row r="2749">
          <cell r="D2749" t="str">
            <v xml:space="preserve">  P.275.            </v>
          </cell>
          <cell r="E2749" t="str">
            <v>CP5031</v>
          </cell>
          <cell r="F2749" t="str">
            <v>16.9.23.</v>
          </cell>
          <cell r="G2749" t="str">
            <v xml:space="preserve">Cabo cobre, tempera mole, EPR, 90oc, 0,6/1kV Pirelli Afumex ou equivalente 1x4(16mm)  </v>
          </cell>
          <cell r="H2749" t="str">
            <v xml:space="preserve">m     </v>
          </cell>
          <cell r="I2749">
            <v>160</v>
          </cell>
          <cell r="J2749">
            <v>34.6</v>
          </cell>
          <cell r="K2749">
            <v>28.86</v>
          </cell>
          <cell r="L2749">
            <v>5536</v>
          </cell>
        </row>
        <row r="2750">
          <cell r="D2750" t="str">
            <v xml:space="preserve">  P.276.            </v>
          </cell>
          <cell r="E2750" t="str">
            <v>CP5033</v>
          </cell>
          <cell r="F2750" t="str">
            <v>16.9.24.</v>
          </cell>
          <cell r="G2750" t="str">
            <v xml:space="preserve">Cabo cobre, tempera mole, EPR, 90oc, 0,6/1kV Pirelli Afumex ou equivalente 1x4(25mm)  </v>
          </cell>
          <cell r="H2750" t="str">
            <v xml:space="preserve">m     </v>
          </cell>
          <cell r="I2750">
            <v>10</v>
          </cell>
          <cell r="J2750">
            <v>58.05</v>
          </cell>
          <cell r="K2750">
            <v>48.47</v>
          </cell>
          <cell r="L2750">
            <v>580.5</v>
          </cell>
        </row>
        <row r="2751">
          <cell r="D2751" t="str">
            <v xml:space="preserve">  P.277.            </v>
          </cell>
          <cell r="E2751" t="str">
            <v>CP5019</v>
          </cell>
          <cell r="F2751" t="str">
            <v>16.9.25.</v>
          </cell>
          <cell r="G2751" t="str">
            <v xml:space="preserve">Cabo cobre, tempera mole, EPR, 90oc, 0,6/1kV Pirelli Afumex ou equivalente #35mm  </v>
          </cell>
          <cell r="H2751" t="str">
            <v xml:space="preserve">m     </v>
          </cell>
          <cell r="I2751">
            <v>440</v>
          </cell>
          <cell r="J2751">
            <v>21.74</v>
          </cell>
          <cell r="K2751">
            <v>18.13</v>
          </cell>
          <cell r="L2751">
            <v>9565.6</v>
          </cell>
        </row>
        <row r="2752">
          <cell r="D2752" t="str">
            <v xml:space="preserve">  P.278.            </v>
          </cell>
          <cell r="E2752" t="str">
            <v>CP5014</v>
          </cell>
          <cell r="F2752" t="str">
            <v>16.9.26.</v>
          </cell>
          <cell r="G2752" t="str">
            <v xml:space="preserve">Cabo cobre, tempera mole, EPR, 90oc, 0,6/1kV Pirelli Afumex ou equivalente 1x4(50mm)  </v>
          </cell>
          <cell r="H2752" t="str">
            <v xml:space="preserve">m     </v>
          </cell>
          <cell r="I2752">
            <v>10</v>
          </cell>
          <cell r="J2752">
            <v>106.01</v>
          </cell>
          <cell r="K2752">
            <v>89.07</v>
          </cell>
          <cell r="L2752">
            <v>1060.0999999999999</v>
          </cell>
        </row>
        <row r="2753">
          <cell r="D2753" t="str">
            <v xml:space="preserve">  P.279.            </v>
          </cell>
          <cell r="E2753" t="str">
            <v>CP5022</v>
          </cell>
          <cell r="F2753" t="str">
            <v>16.9.27.</v>
          </cell>
          <cell r="G2753" t="str">
            <v xml:space="preserve">Cabo cobre, tempera mole, EPR, 90oc, 0,6/1kV Pirelli Afumex ou equivalente #70mm  </v>
          </cell>
          <cell r="H2753" t="str">
            <v xml:space="preserve">m     </v>
          </cell>
          <cell r="I2753">
            <v>1320</v>
          </cell>
          <cell r="J2753">
            <v>34.68</v>
          </cell>
          <cell r="K2753">
            <v>35.07</v>
          </cell>
          <cell r="L2753">
            <v>45777.599999999999</v>
          </cell>
        </row>
        <row r="2754">
          <cell r="D2754" t="str">
            <v xml:space="preserve">  P.280.            </v>
          </cell>
          <cell r="E2754" t="str">
            <v>CP5016</v>
          </cell>
          <cell r="F2754" t="str">
            <v>16.9.28.</v>
          </cell>
          <cell r="G2754" t="str">
            <v xml:space="preserve">Cabo cobre, tempera mole, EPR, 90oc, 0,6/1kV Pirelli Afumex ou equivalente #240mm  </v>
          </cell>
          <cell r="H2754" t="str">
            <v xml:space="preserve">m     </v>
          </cell>
          <cell r="I2754">
            <v>70</v>
          </cell>
          <cell r="J2754">
            <v>128.19999999999999</v>
          </cell>
          <cell r="K2754">
            <v>123.17</v>
          </cell>
          <cell r="L2754">
            <v>8974</v>
          </cell>
        </row>
        <row r="2755">
          <cell r="D2755" t="str">
            <v xml:space="preserve">  P.281.            </v>
          </cell>
          <cell r="E2755" t="str">
            <v>CP5018</v>
          </cell>
          <cell r="F2755" t="str">
            <v>16.9.29.</v>
          </cell>
          <cell r="G2755" t="str">
            <v xml:space="preserve">Cabo cobre, tempera mole, EPR, 90oc, 0,6/1kV Pirelli Afumex ou equivalente #300mm  </v>
          </cell>
          <cell r="H2755" t="str">
            <v xml:space="preserve">m     </v>
          </cell>
          <cell r="I2755">
            <v>1200</v>
          </cell>
          <cell r="J2755">
            <v>159.68</v>
          </cell>
          <cell r="K2755">
            <v>151.63</v>
          </cell>
          <cell r="L2755">
            <v>191616</v>
          </cell>
        </row>
        <row r="2756">
          <cell r="D2756" t="str">
            <v xml:space="preserve">  P.282.            </v>
          </cell>
          <cell r="E2756" t="str">
            <v>CP5015</v>
          </cell>
          <cell r="F2756" t="str">
            <v>16.9.30.</v>
          </cell>
          <cell r="G2756" t="str">
            <v xml:space="preserve">Cabo cobre, tempera mole, EPR, 90oc, 0,6/1kV Pirelli Afumex ou equivalente #2,5mm  </v>
          </cell>
          <cell r="H2756" t="str">
            <v xml:space="preserve">m     </v>
          </cell>
          <cell r="I2756">
            <v>180</v>
          </cell>
          <cell r="J2756">
            <v>5.07</v>
          </cell>
          <cell r="K2756">
            <v>4.51</v>
          </cell>
          <cell r="L2756">
            <v>912.6</v>
          </cell>
        </row>
        <row r="2757">
          <cell r="D2757" t="str">
            <v xml:space="preserve">  P.283.            </v>
          </cell>
          <cell r="E2757" t="str">
            <v>CP5020</v>
          </cell>
          <cell r="F2757" t="str">
            <v>16.9.31.</v>
          </cell>
          <cell r="G2757" t="str">
            <v xml:space="preserve">Cabo cobre, tempera mole, EPR, 90oc, 0,6/1kV Pirelli Afumex ou equivalente #4,0mm  </v>
          </cell>
          <cell r="H2757" t="str">
            <v xml:space="preserve">m     </v>
          </cell>
          <cell r="I2757">
            <v>980</v>
          </cell>
          <cell r="J2757">
            <v>5.96</v>
          </cell>
          <cell r="K2757">
            <v>5.28</v>
          </cell>
          <cell r="L2757">
            <v>5840.8</v>
          </cell>
        </row>
        <row r="2758">
          <cell r="D2758" t="str">
            <v xml:space="preserve">  P.284.            </v>
          </cell>
          <cell r="E2758" t="str">
            <v>CP5021</v>
          </cell>
          <cell r="F2758" t="str">
            <v>16.9.32.</v>
          </cell>
          <cell r="G2758" t="str">
            <v xml:space="preserve">Cabo cobre, tempera mole, EPR, 90oc, 0,6/1kV Pirelli Afumex ou equivalente #6,0mm  </v>
          </cell>
          <cell r="H2758" t="str">
            <v xml:space="preserve">m     </v>
          </cell>
          <cell r="I2758">
            <v>440</v>
          </cell>
          <cell r="J2758">
            <v>6.17</v>
          </cell>
          <cell r="K2758">
            <v>5.14</v>
          </cell>
          <cell r="L2758">
            <v>2714.8</v>
          </cell>
        </row>
        <row r="2759">
          <cell r="D2759" t="str">
            <v xml:space="preserve">  P.285.            </v>
          </cell>
          <cell r="E2759" t="str">
            <v xml:space="preserve">      </v>
          </cell>
          <cell r="F2759" t="str">
            <v>16.9.33.</v>
          </cell>
          <cell r="G2759" t="str">
            <v xml:space="preserve">Cabo cobre, tempera mole, PVC, 70oc, 0,6/1kV NBR-7288, NBR-6245, NBR-6812  </v>
          </cell>
          <cell r="H2759" t="str">
            <v xml:space="preserve">      </v>
          </cell>
          <cell r="I2759">
            <v>0</v>
          </cell>
          <cell r="J2759">
            <v>0</v>
          </cell>
          <cell r="K2759">
            <v>0</v>
          </cell>
          <cell r="L2759">
            <v>0</v>
          </cell>
        </row>
        <row r="2760">
          <cell r="D2760" t="str">
            <v xml:space="preserve">  P.286.            </v>
          </cell>
          <cell r="E2760" t="str">
            <v>CP2260</v>
          </cell>
          <cell r="F2760" t="str">
            <v>16.9.34.</v>
          </cell>
          <cell r="G2760" t="str">
            <v xml:space="preserve">Cabo cobre, tempera mole, PVC, 70oc, 0,6/1kV NBR-7288, NBR-6245, NBR-6812 1x2(1,5mm)  </v>
          </cell>
          <cell r="H2760" t="str">
            <v xml:space="preserve">m     </v>
          </cell>
          <cell r="I2760">
            <v>1320</v>
          </cell>
          <cell r="J2760">
            <v>3.51</v>
          </cell>
          <cell r="K2760">
            <v>3.67</v>
          </cell>
          <cell r="L2760">
            <v>4633.2</v>
          </cell>
        </row>
        <row r="2761">
          <cell r="D2761" t="str">
            <v xml:space="preserve">  P.287.            </v>
          </cell>
          <cell r="E2761" t="str">
            <v>CP2230</v>
          </cell>
          <cell r="F2761" t="str">
            <v>16.9.35.</v>
          </cell>
          <cell r="G2761" t="str">
            <v xml:space="preserve">Cabo cobre, tempera mole, PVC, 70oc, 0,6/1kV NBR-7288, NBR-6245, NBR-6812 1x3(1,5mm)  </v>
          </cell>
          <cell r="H2761" t="str">
            <v xml:space="preserve">m     </v>
          </cell>
          <cell r="I2761">
            <v>440</v>
          </cell>
          <cell r="J2761">
            <v>4.5199999999999996</v>
          </cell>
          <cell r="K2761">
            <v>4.18</v>
          </cell>
          <cell r="L2761">
            <v>1988.8</v>
          </cell>
        </row>
        <row r="2762">
          <cell r="D2762" t="str">
            <v xml:space="preserve">  P.288.            </v>
          </cell>
          <cell r="E2762" t="str">
            <v>CP2193</v>
          </cell>
          <cell r="F2762" t="str">
            <v>16.9.36.</v>
          </cell>
          <cell r="G2762" t="str">
            <v xml:space="preserve">Cabo cobre, tempera mole, PVC, 70oc, 0,6/1kV NBR-7288, NBR-6245, NBR-6812 1x4(1,5mm)  </v>
          </cell>
          <cell r="H2762" t="str">
            <v xml:space="preserve">m     </v>
          </cell>
          <cell r="I2762">
            <v>5342</v>
          </cell>
          <cell r="J2762">
            <v>5.53</v>
          </cell>
          <cell r="K2762">
            <v>4.7699999999999996</v>
          </cell>
          <cell r="L2762">
            <v>29541.26</v>
          </cell>
        </row>
        <row r="2763">
          <cell r="D2763" t="str">
            <v xml:space="preserve">  P.289.            </v>
          </cell>
          <cell r="E2763" t="str">
            <v>CP2185</v>
          </cell>
          <cell r="F2763" t="str">
            <v>16.9.37.</v>
          </cell>
          <cell r="G2763" t="str">
            <v xml:space="preserve">Cabo cobre, tempera mole, PVC, 70oc, 0,6/1kV NBR-7288, NBR-6245, NBR-6812 1x3(2,5mm)  </v>
          </cell>
          <cell r="H2763" t="str">
            <v xml:space="preserve">m     </v>
          </cell>
          <cell r="I2763">
            <v>40</v>
          </cell>
          <cell r="J2763">
            <v>6.1</v>
          </cell>
          <cell r="K2763">
            <v>5.82</v>
          </cell>
          <cell r="L2763">
            <v>244</v>
          </cell>
        </row>
        <row r="2764">
          <cell r="D2764" t="str">
            <v xml:space="preserve">  P.290.            </v>
          </cell>
          <cell r="E2764" t="str">
            <v>CP2150</v>
          </cell>
          <cell r="F2764" t="str">
            <v>16.9.38.</v>
          </cell>
          <cell r="G2764" t="str">
            <v xml:space="preserve">Cabo cobre, tempera mole, PVC, 70oc, 0,6/1kV NBR-7288, NBR-6245, NBR-6812 1x4(2,5mm)  </v>
          </cell>
          <cell r="H2764" t="str">
            <v xml:space="preserve">m     </v>
          </cell>
          <cell r="I2764">
            <v>1820</v>
          </cell>
          <cell r="J2764">
            <v>7.28</v>
          </cell>
          <cell r="K2764">
            <v>6.09</v>
          </cell>
          <cell r="L2764">
            <v>13249.6</v>
          </cell>
        </row>
        <row r="2765">
          <cell r="D2765" t="str">
            <v xml:space="preserve">  P.291.            </v>
          </cell>
          <cell r="E2765" t="str">
            <v>CP2189</v>
          </cell>
          <cell r="F2765" t="str">
            <v>16.9.39.</v>
          </cell>
          <cell r="G2765" t="str">
            <v xml:space="preserve">Cabo cobre, tempera mole, PVC, 70oc, 0,6/1kV NBR-7288, NBR-6245, NBR-6812 Coaxial  </v>
          </cell>
          <cell r="H2765" t="str">
            <v xml:space="preserve">m     </v>
          </cell>
          <cell r="I2765">
            <v>240</v>
          </cell>
          <cell r="J2765">
            <v>4.28</v>
          </cell>
          <cell r="K2765">
            <v>3.59</v>
          </cell>
          <cell r="L2765">
            <v>1027.2</v>
          </cell>
        </row>
        <row r="2766">
          <cell r="D2766" t="str">
            <v xml:space="preserve">  P.292.            </v>
          </cell>
          <cell r="E2766" t="str">
            <v>CP2026</v>
          </cell>
          <cell r="F2766" t="str">
            <v>16.9.40.</v>
          </cell>
          <cell r="G2766" t="str">
            <v xml:space="preserve">Cabo cobre, tempera mole, PVC, 70oc, 0,6/1kV NBR-7288, NBR-6245, NBR-6812 1x3(1,5mm) Blindado  </v>
          </cell>
          <cell r="H2766" t="str">
            <v xml:space="preserve">m     </v>
          </cell>
          <cell r="I2766">
            <v>980</v>
          </cell>
          <cell r="J2766">
            <v>10.69</v>
          </cell>
          <cell r="K2766">
            <v>8.91</v>
          </cell>
          <cell r="L2766">
            <v>10476.200000000001</v>
          </cell>
        </row>
        <row r="2767">
          <cell r="D2767" t="str">
            <v xml:space="preserve">  P.293.            </v>
          </cell>
          <cell r="E2767" t="str">
            <v>CP2143</v>
          </cell>
          <cell r="F2767" t="str">
            <v>16.9.41.</v>
          </cell>
          <cell r="G2767" t="str">
            <v xml:space="preserve">Cabo cobre, tempera mole, PVC, 70oc, 0,6/1kV NBR-7288, NBR-6245, NBR-6812 1x2(1,5mm) Blindado  </v>
          </cell>
          <cell r="H2767" t="str">
            <v xml:space="preserve">m     </v>
          </cell>
          <cell r="I2767">
            <v>590</v>
          </cell>
          <cell r="J2767">
            <v>9.6199999999999992</v>
          </cell>
          <cell r="K2767">
            <v>8.0399999999999991</v>
          </cell>
          <cell r="L2767">
            <v>5675.8</v>
          </cell>
        </row>
        <row r="2768">
          <cell r="D2768" t="str">
            <v xml:space="preserve">  P.294.            </v>
          </cell>
          <cell r="E2768" t="str">
            <v>CP1949</v>
          </cell>
          <cell r="F2768" t="str">
            <v>16.9.42.</v>
          </cell>
          <cell r="G2768" t="str">
            <v xml:space="preserve">Cabo cobre, tempera mole, PVC, 70oc, 0,6/1kV NBR-7288, NBR-6245, NBR-6812 2x(1x2)(1, 5mm) Blindado  </v>
          </cell>
          <cell r="H2768" t="str">
            <v xml:space="preserve">m     </v>
          </cell>
          <cell r="I2768">
            <v>100</v>
          </cell>
          <cell r="J2768">
            <v>13.58</v>
          </cell>
          <cell r="K2768">
            <v>11.4</v>
          </cell>
          <cell r="L2768">
            <v>1358</v>
          </cell>
        </row>
        <row r="2769">
          <cell r="D2769" t="str">
            <v xml:space="preserve">  P.295.            </v>
          </cell>
          <cell r="E2769" t="str">
            <v xml:space="preserve">      </v>
          </cell>
          <cell r="F2769" t="str">
            <v>16.9.43.</v>
          </cell>
          <cell r="G2769" t="str">
            <v xml:space="preserve">Perfil  </v>
          </cell>
          <cell r="H2769" t="str">
            <v xml:space="preserve">      </v>
          </cell>
          <cell r="I2769">
            <v>0</v>
          </cell>
          <cell r="J2769">
            <v>0</v>
          </cell>
          <cell r="K2769">
            <v>0</v>
          </cell>
          <cell r="L2769">
            <v>0</v>
          </cell>
        </row>
        <row r="2770">
          <cell r="D2770" t="str">
            <v xml:space="preserve">  P.296.            </v>
          </cell>
          <cell r="E2770" t="str">
            <v>CP1778</v>
          </cell>
          <cell r="F2770" t="str">
            <v>16.9.44.</v>
          </cell>
          <cell r="G2770" t="str">
            <v xml:space="preserve">Perfil perfurada, tipo u, 38x38mm, chapa #16msg, galvanizado eletroliticamente, peça de 6000 mm  </v>
          </cell>
          <cell r="H2770" t="str">
            <v xml:space="preserve">pc    </v>
          </cell>
          <cell r="I2770">
            <v>12</v>
          </cell>
          <cell r="J2770">
            <v>115.53</v>
          </cell>
          <cell r="K2770">
            <v>143.54</v>
          </cell>
          <cell r="L2770">
            <v>1386.36</v>
          </cell>
        </row>
        <row r="2771">
          <cell r="D2771" t="str">
            <v xml:space="preserve">  P.297.            </v>
          </cell>
          <cell r="E2771" t="str">
            <v>CP2085</v>
          </cell>
          <cell r="F2771" t="str">
            <v>16.9.45.</v>
          </cell>
          <cell r="G2771" t="str">
            <v xml:space="preserve">Perfil Conexão tipo cotovelo 90o  </v>
          </cell>
          <cell r="H2771" t="str">
            <v xml:space="preserve">pc    </v>
          </cell>
          <cell r="I2771">
            <v>4</v>
          </cell>
          <cell r="J2771">
            <v>6.8</v>
          </cell>
          <cell r="K2771">
            <v>9.7200000000000006</v>
          </cell>
          <cell r="L2771">
            <v>27.2</v>
          </cell>
        </row>
        <row r="2772">
          <cell r="D2772" t="str">
            <v xml:space="preserve">  P.298.            </v>
          </cell>
          <cell r="E2772" t="str">
            <v>CP3013</v>
          </cell>
          <cell r="F2772" t="str">
            <v>16.9.46.</v>
          </cell>
          <cell r="G2772" t="str">
            <v xml:space="preserve">Perfil Conexão tipo tê 90o  </v>
          </cell>
          <cell r="H2772" t="str">
            <v xml:space="preserve">pc    </v>
          </cell>
          <cell r="I2772">
            <v>2</v>
          </cell>
          <cell r="J2772">
            <v>14.46</v>
          </cell>
          <cell r="K2772">
            <v>13.17</v>
          </cell>
          <cell r="L2772">
            <v>28.92</v>
          </cell>
        </row>
        <row r="2773">
          <cell r="D2773" t="str">
            <v xml:space="preserve">  P.299.            </v>
          </cell>
          <cell r="E2773" t="str">
            <v>CP2153</v>
          </cell>
          <cell r="F2773" t="str">
            <v>16.9.47.</v>
          </cell>
          <cell r="G2773" t="str">
            <v xml:space="preserve">Perfil Junção simples  </v>
          </cell>
          <cell r="H2773" t="str">
            <v xml:space="preserve">pc    </v>
          </cell>
          <cell r="I2773">
            <v>18</v>
          </cell>
          <cell r="J2773">
            <v>8.66</v>
          </cell>
          <cell r="K2773">
            <v>7.26</v>
          </cell>
          <cell r="L2773">
            <v>155.88</v>
          </cell>
        </row>
        <row r="2774">
          <cell r="D2774" t="str">
            <v xml:space="preserve">  P.300.            </v>
          </cell>
          <cell r="E2774" t="str">
            <v>CP2201</v>
          </cell>
          <cell r="F2774" t="str">
            <v>16.9.48.</v>
          </cell>
          <cell r="G2774" t="str">
            <v xml:space="preserve">Perfil Chumbador 1/4  </v>
          </cell>
          <cell r="H2774" t="str">
            <v xml:space="preserve">pc    </v>
          </cell>
          <cell r="I2774">
            <v>36</v>
          </cell>
          <cell r="J2774">
            <v>4.6399999999999997</v>
          </cell>
          <cell r="K2774">
            <v>5.5</v>
          </cell>
          <cell r="L2774">
            <v>167.04</v>
          </cell>
        </row>
        <row r="2775">
          <cell r="D2775" t="str">
            <v xml:space="preserve">  P.301.            </v>
          </cell>
          <cell r="E2775" t="str">
            <v>CP2110</v>
          </cell>
          <cell r="F2775" t="str">
            <v>16.9.49.</v>
          </cell>
          <cell r="G2775" t="str">
            <v xml:space="preserve">Perfil Tirante de aço - rosca NC total 1/4  </v>
          </cell>
          <cell r="H2775" t="str">
            <v xml:space="preserve">pc    </v>
          </cell>
          <cell r="I2775">
            <v>18</v>
          </cell>
          <cell r="J2775">
            <v>17.93</v>
          </cell>
          <cell r="K2775">
            <v>19.96</v>
          </cell>
          <cell r="L2775">
            <v>322.74</v>
          </cell>
        </row>
        <row r="2776">
          <cell r="D2776" t="str">
            <v xml:space="preserve">  P.302.            </v>
          </cell>
          <cell r="E2776" t="str">
            <v>CP2330</v>
          </cell>
          <cell r="F2776" t="str">
            <v>16.9.50.</v>
          </cell>
          <cell r="G2776" t="str">
            <v xml:space="preserve">Perfil Porca sextavada 1/4  </v>
          </cell>
          <cell r="H2776" t="str">
            <v xml:space="preserve">pc    </v>
          </cell>
          <cell r="I2776">
            <v>108</v>
          </cell>
          <cell r="J2776">
            <v>0.92</v>
          </cell>
          <cell r="K2776">
            <v>1.22</v>
          </cell>
          <cell r="L2776">
            <v>99.36</v>
          </cell>
        </row>
        <row r="2777">
          <cell r="D2777" t="str">
            <v xml:space="preserve">  P.303.            </v>
          </cell>
          <cell r="E2777" t="str">
            <v>CP2125</v>
          </cell>
          <cell r="F2777" t="str">
            <v>16.9.51.</v>
          </cell>
          <cell r="G2777" t="str">
            <v xml:space="preserve">Perfil Suspenção para perfil 38x38 mm  </v>
          </cell>
          <cell r="H2777" t="str">
            <v xml:space="preserve">pc    </v>
          </cell>
          <cell r="I2777">
            <v>36</v>
          </cell>
          <cell r="J2777">
            <v>8.7799999999999994</v>
          </cell>
          <cell r="K2777">
            <v>7.35</v>
          </cell>
          <cell r="L2777">
            <v>316.08</v>
          </cell>
        </row>
        <row r="2778">
          <cell r="D2778" t="str">
            <v xml:space="preserve">  P.304.            </v>
          </cell>
          <cell r="E2778" t="str">
            <v>CP1836</v>
          </cell>
          <cell r="F2778" t="str">
            <v>16.9.52.</v>
          </cell>
          <cell r="G2778" t="str">
            <v xml:space="preserve">Perfil Caixa com 1 tomada 2P (pino redondo) para inst. perfil 38x38 mm  </v>
          </cell>
          <cell r="H2778" t="str">
            <v xml:space="preserve">pc    </v>
          </cell>
          <cell r="I2778">
            <v>12</v>
          </cell>
          <cell r="J2778">
            <v>15.33</v>
          </cell>
          <cell r="K2778">
            <v>12.81</v>
          </cell>
          <cell r="L2778">
            <v>183.96</v>
          </cell>
        </row>
        <row r="2779">
          <cell r="D2779" t="str">
            <v xml:space="preserve">  P.305.            </v>
          </cell>
          <cell r="E2779" t="str">
            <v xml:space="preserve">      </v>
          </cell>
          <cell r="F2779" t="str">
            <v>16.9.53.</v>
          </cell>
          <cell r="G2779" t="str">
            <v xml:space="preserve">Conduletes  </v>
          </cell>
          <cell r="H2779" t="str">
            <v xml:space="preserve">      </v>
          </cell>
          <cell r="I2779">
            <v>0</v>
          </cell>
          <cell r="J2779">
            <v>0</v>
          </cell>
          <cell r="K2779">
            <v>0</v>
          </cell>
          <cell r="L2779">
            <v>0</v>
          </cell>
        </row>
        <row r="2780">
          <cell r="D2780" t="str">
            <v xml:space="preserve">  P.306.            </v>
          </cell>
          <cell r="E2780" t="str">
            <v xml:space="preserve">      </v>
          </cell>
          <cell r="F2780" t="str">
            <v>16.9.54.</v>
          </cell>
          <cell r="G2780" t="str">
            <v xml:space="preserve">Condulete em liga de alumínio fundido a prova de tempo, umidade, gases, vapores e pó - com Junta de vedação em neoprene rosca bsb (gás) conforme norma ANSI b-2.1  </v>
          </cell>
          <cell r="H2780" t="str">
            <v xml:space="preserve">      </v>
          </cell>
          <cell r="I2780">
            <v>0</v>
          </cell>
          <cell r="J2780">
            <v>0</v>
          </cell>
          <cell r="K2780">
            <v>0</v>
          </cell>
          <cell r="L2780">
            <v>0</v>
          </cell>
        </row>
        <row r="2781">
          <cell r="D2781" t="str">
            <v xml:space="preserve">  P.307.            </v>
          </cell>
          <cell r="E2781" t="str">
            <v>CP1952</v>
          </cell>
          <cell r="F2781" t="str">
            <v>16.9.55.</v>
          </cell>
          <cell r="G2781" t="str">
            <v xml:space="preserve">Condulete em liga de alumínio fundido a prova de tempo, umidade, gases, vapores e pó - com Junta de vedação em neoprene rosca bsb (gás) conforme norma ANSI b-2.1 Ø (3/4) 20 mm  </v>
          </cell>
          <cell r="H2781" t="str">
            <v xml:space="preserve">pc    </v>
          </cell>
          <cell r="I2781">
            <v>5</v>
          </cell>
          <cell r="J2781">
            <v>17.41</v>
          </cell>
          <cell r="K2781">
            <v>14.51</v>
          </cell>
          <cell r="L2781">
            <v>87.05</v>
          </cell>
        </row>
        <row r="2782">
          <cell r="D2782" t="str">
            <v xml:space="preserve">  P.308.            </v>
          </cell>
          <cell r="E2782" t="str">
            <v>CP1888</v>
          </cell>
          <cell r="F2782" t="str">
            <v>16.9.56.</v>
          </cell>
          <cell r="G2782" t="str">
            <v xml:space="preserve">Condulete em liga de alumínio fundido a prova de tempo, umidade, gases, vapores e pó - com Junta de vedação em neoprene rosca bsb (gás) conforme norma ANSI b-2.1 Ø (1) 25 mm  </v>
          </cell>
          <cell r="H2782" t="str">
            <v xml:space="preserve">pc    </v>
          </cell>
          <cell r="I2782">
            <v>50</v>
          </cell>
          <cell r="J2782">
            <v>21.78</v>
          </cell>
          <cell r="K2782">
            <v>18.2</v>
          </cell>
          <cell r="L2782">
            <v>1089</v>
          </cell>
        </row>
        <row r="2783">
          <cell r="D2783" t="str">
            <v xml:space="preserve">  P.309.            </v>
          </cell>
          <cell r="E2783" t="str">
            <v xml:space="preserve">      </v>
          </cell>
          <cell r="F2783" t="str">
            <v>16.9.57.</v>
          </cell>
          <cell r="G2783" t="str">
            <v xml:space="preserve">Interruptor em condulete 20 mm  </v>
          </cell>
          <cell r="H2783" t="str">
            <v xml:space="preserve">      </v>
          </cell>
          <cell r="I2783">
            <v>0</v>
          </cell>
          <cell r="J2783">
            <v>0</v>
          </cell>
          <cell r="K2783">
            <v>0</v>
          </cell>
          <cell r="L2783">
            <v>0</v>
          </cell>
        </row>
        <row r="2784">
          <cell r="D2784" t="str">
            <v xml:space="preserve">  P.310.            </v>
          </cell>
          <cell r="E2784" t="str">
            <v>CP1874</v>
          </cell>
          <cell r="F2784" t="str">
            <v>16.9.58.</v>
          </cell>
          <cell r="G2784" t="str">
            <v xml:space="preserve">Interruptor em condulete 20 mm Tipo simples 03 teclas  </v>
          </cell>
          <cell r="H2784" t="str">
            <v xml:space="preserve">pc    </v>
          </cell>
          <cell r="I2784">
            <v>1</v>
          </cell>
          <cell r="J2784">
            <v>32.28</v>
          </cell>
          <cell r="K2784">
            <v>27.04</v>
          </cell>
          <cell r="L2784">
            <v>32.28</v>
          </cell>
        </row>
        <row r="2785">
          <cell r="D2785" t="str">
            <v xml:space="preserve">  P.311.            </v>
          </cell>
          <cell r="E2785" t="str">
            <v xml:space="preserve">      </v>
          </cell>
          <cell r="F2785" t="str">
            <v>16.9.59.</v>
          </cell>
          <cell r="G2785" t="str">
            <v xml:space="preserve">Tomadas em condulete 20 mm  </v>
          </cell>
          <cell r="H2785" t="str">
            <v xml:space="preserve">      </v>
          </cell>
          <cell r="I2785">
            <v>0</v>
          </cell>
          <cell r="J2785">
            <v>0</v>
          </cell>
          <cell r="K2785">
            <v>0</v>
          </cell>
          <cell r="L2785">
            <v>0</v>
          </cell>
        </row>
        <row r="2786">
          <cell r="D2786" t="str">
            <v xml:space="preserve">  P.312.            </v>
          </cell>
          <cell r="E2786" t="str">
            <v>CP1857</v>
          </cell>
          <cell r="F2786" t="str">
            <v>16.9.60.</v>
          </cell>
          <cell r="G2786" t="str">
            <v xml:space="preserve">Tomadas em condulete 20 mm Tipo 2p+t (pino redondo, tipo universal)  </v>
          </cell>
          <cell r="H2786" t="str">
            <v xml:space="preserve">pc    </v>
          </cell>
          <cell r="I2786">
            <v>4</v>
          </cell>
          <cell r="J2786">
            <v>17.559999999999999</v>
          </cell>
          <cell r="K2786">
            <v>14.75</v>
          </cell>
          <cell r="L2786">
            <v>70.239999999999995</v>
          </cell>
        </row>
        <row r="2787">
          <cell r="D2787" t="str">
            <v xml:space="preserve">  P.313.            </v>
          </cell>
          <cell r="E2787" t="str">
            <v>CP1724</v>
          </cell>
          <cell r="F2787" t="str">
            <v>16.9.61.</v>
          </cell>
          <cell r="G2787" t="str">
            <v xml:space="preserve">Tomada tetrapolar, 50 A, Steck ou similar  </v>
          </cell>
          <cell r="H2787" t="str">
            <v xml:space="preserve">un    </v>
          </cell>
          <cell r="I2787">
            <v>2</v>
          </cell>
          <cell r="J2787">
            <v>62.56</v>
          </cell>
          <cell r="K2787">
            <v>52.2</v>
          </cell>
          <cell r="L2787">
            <v>125.12</v>
          </cell>
        </row>
        <row r="2788">
          <cell r="D2788" t="str">
            <v xml:space="preserve">  P.314.            </v>
          </cell>
          <cell r="E2788" t="str">
            <v xml:space="preserve">      </v>
          </cell>
          <cell r="F2788" t="str">
            <v>16.9.62.</v>
          </cell>
          <cell r="G2788" t="str">
            <v xml:space="preserve">Luminárias  </v>
          </cell>
          <cell r="H2788" t="str">
            <v xml:space="preserve">      </v>
          </cell>
          <cell r="I2788">
            <v>0</v>
          </cell>
          <cell r="J2788">
            <v>0</v>
          </cell>
          <cell r="K2788">
            <v>0</v>
          </cell>
          <cell r="L2788">
            <v>0</v>
          </cell>
        </row>
        <row r="2789">
          <cell r="D2789" t="str">
            <v xml:space="preserve">  P.315.            </v>
          </cell>
          <cell r="E2789" t="str">
            <v>CP1651</v>
          </cell>
          <cell r="F2789" t="str">
            <v>16.9.63.</v>
          </cell>
          <cell r="G2789" t="str">
            <v>Luminária 2X32W, de sobrepor, corpo em chapa de aço tratada e pintura eletrostática branca. Refletor em chapa de alumínio anodizado brilhante, de alta pureza e reator eletrônico, de alto fator de potência, alojado na cabeceira e acompanhado de lâmpadas, a</v>
          </cell>
          <cell r="H2789" t="str">
            <v xml:space="preserve">pc    </v>
          </cell>
          <cell r="I2789">
            <v>12</v>
          </cell>
          <cell r="J2789">
            <v>104.77</v>
          </cell>
          <cell r="K2789">
            <v>87.99</v>
          </cell>
          <cell r="L2789">
            <v>1257.24</v>
          </cell>
        </row>
        <row r="2790">
          <cell r="D2790" t="str">
            <v xml:space="preserve">  P.316.            </v>
          </cell>
          <cell r="E2790" t="str">
            <v>CP1587</v>
          </cell>
          <cell r="F2790" t="str">
            <v>16.9.64.</v>
          </cell>
          <cell r="G2790" t="str">
            <v>Luminária 1X150W, vapor de sódio, tipo refletor, corpo em chapa de aço tratada e pintura eletrostática branca. Refletor em chapa de alumínio anodizado brilhante, de alta pureza e reator de alto fator de potência, alojado em abrigo metálico junto a luminár</v>
          </cell>
          <cell r="H2790" t="str">
            <v xml:space="preserve">un    </v>
          </cell>
          <cell r="I2790">
            <v>15</v>
          </cell>
          <cell r="J2790">
            <v>454.35</v>
          </cell>
          <cell r="K2790">
            <v>379.19</v>
          </cell>
          <cell r="L2790">
            <v>6815.25</v>
          </cell>
        </row>
        <row r="2791">
          <cell r="D2791" t="str">
            <v xml:space="preserve">  P.317.            </v>
          </cell>
          <cell r="E2791" t="str">
            <v>CP1584</v>
          </cell>
          <cell r="F2791" t="str">
            <v>16.9.65.</v>
          </cell>
          <cell r="G2791" t="str">
            <v xml:space="preserve">Poste telecônico, curvo, fabricação em aço galvanizado a fogo, diâmetro 63mm, flangeado, com 4 chumbadores, altura útil 4 m  </v>
          </cell>
          <cell r="H2791" t="str">
            <v xml:space="preserve">un    </v>
          </cell>
          <cell r="I2791">
            <v>15</v>
          </cell>
          <cell r="J2791">
            <v>1078.03</v>
          </cell>
          <cell r="K2791">
            <v>903.91</v>
          </cell>
          <cell r="L2791">
            <v>16170.45</v>
          </cell>
        </row>
        <row r="2792">
          <cell r="D2792" t="str">
            <v xml:space="preserve">  P.318.            </v>
          </cell>
          <cell r="E2792" t="str">
            <v xml:space="preserve">      </v>
          </cell>
          <cell r="F2792" t="str">
            <v>16.9.66.</v>
          </cell>
          <cell r="G2792" t="str">
            <v xml:space="preserve">Outros  </v>
          </cell>
          <cell r="H2792" t="str">
            <v xml:space="preserve">      </v>
          </cell>
          <cell r="I2792">
            <v>0</v>
          </cell>
          <cell r="J2792">
            <v>0</v>
          </cell>
          <cell r="K2792">
            <v>0</v>
          </cell>
          <cell r="L2792">
            <v>0</v>
          </cell>
        </row>
        <row r="2793">
          <cell r="D2793" t="str">
            <v xml:space="preserve">  P.319.            </v>
          </cell>
          <cell r="E2793" t="str">
            <v>CP2350</v>
          </cell>
          <cell r="F2793" t="str">
            <v>16.9.67.</v>
          </cell>
          <cell r="G2793" t="str">
            <v xml:space="preserve">Acessórios (lamina de serra, saída para eletroduto de perfil, anilhas, arame guia 16 awg, fita isolante, etc)  </v>
          </cell>
          <cell r="H2793" t="str">
            <v xml:space="preserve">un    </v>
          </cell>
          <cell r="I2793">
            <v>1</v>
          </cell>
          <cell r="J2793">
            <v>1346.11</v>
          </cell>
          <cell r="K2793">
            <v>1128.26</v>
          </cell>
          <cell r="L2793">
            <v>1346.11</v>
          </cell>
        </row>
        <row r="2794">
          <cell r="D2794" t="str">
            <v xml:space="preserve">  P.320.            </v>
          </cell>
          <cell r="E2794" t="str">
            <v xml:space="preserve">      </v>
          </cell>
          <cell r="F2794" t="str">
            <v>16.9.68.</v>
          </cell>
          <cell r="G2794" t="str">
            <v xml:space="preserve">Equipamentos  </v>
          </cell>
          <cell r="H2794" t="str">
            <v xml:space="preserve">      </v>
          </cell>
          <cell r="I2794">
            <v>0</v>
          </cell>
          <cell r="J2794">
            <v>0</v>
          </cell>
          <cell r="K2794">
            <v>0</v>
          </cell>
          <cell r="L2794">
            <v>0</v>
          </cell>
        </row>
        <row r="2795">
          <cell r="D2795" t="str">
            <v xml:space="preserve">  P.321.            </v>
          </cell>
          <cell r="E2795" t="str">
            <v>CP1334</v>
          </cell>
          <cell r="F2795" t="str">
            <v>16.9.69.</v>
          </cell>
          <cell r="G2795" t="str">
            <v xml:space="preserve">No-break 3 kVA, 220 V, monofásico, com banco de baterias selada, em gabinete próprio, autonomia de 10 min, on-line, conforme especificações  </v>
          </cell>
          <cell r="H2795" t="str">
            <v xml:space="preserve">pc    </v>
          </cell>
          <cell r="I2795">
            <v>1</v>
          </cell>
          <cell r="J2795">
            <v>5836.43</v>
          </cell>
          <cell r="K2795">
            <v>4873.88</v>
          </cell>
          <cell r="L2795">
            <v>5836.43</v>
          </cell>
        </row>
        <row r="2796">
          <cell r="D2796" t="str">
            <v xml:space="preserve">  P.322.            </v>
          </cell>
          <cell r="E2796" t="str">
            <v xml:space="preserve">      </v>
          </cell>
          <cell r="F2796" t="str">
            <v>16.10.</v>
          </cell>
          <cell r="G2796" t="str">
            <v xml:space="preserve">Sala de Armazenamento  </v>
          </cell>
          <cell r="H2796" t="str">
            <v xml:space="preserve">      </v>
          </cell>
          <cell r="I2796">
            <v>0</v>
          </cell>
          <cell r="J2796">
            <v>0</v>
          </cell>
          <cell r="K2796">
            <v>0</v>
          </cell>
          <cell r="L2796">
            <v>0</v>
          </cell>
        </row>
        <row r="2797">
          <cell r="D2797" t="str">
            <v xml:space="preserve">  P.323.            </v>
          </cell>
          <cell r="E2797" t="str">
            <v xml:space="preserve">      </v>
          </cell>
          <cell r="F2797" t="str">
            <v>16.10.1.</v>
          </cell>
          <cell r="G2797" t="str">
            <v xml:space="preserve">Fornecimento e instalação  </v>
          </cell>
          <cell r="H2797" t="str">
            <v xml:space="preserve">      </v>
          </cell>
          <cell r="I2797">
            <v>0</v>
          </cell>
          <cell r="J2797">
            <v>0</v>
          </cell>
          <cell r="K2797">
            <v>0</v>
          </cell>
          <cell r="L2797">
            <v>0</v>
          </cell>
        </row>
        <row r="2798">
          <cell r="D2798" t="str">
            <v xml:space="preserve">  P.324.            </v>
          </cell>
          <cell r="E2798" t="str">
            <v xml:space="preserve">      </v>
          </cell>
          <cell r="F2798" t="str">
            <v>16.10.2.</v>
          </cell>
          <cell r="G2798" t="str">
            <v xml:space="preserve">Eletroduto PVC rígido rosca bsp ABNT 744 classe b NBR 6150 antichama com uma luva  </v>
          </cell>
          <cell r="H2798" t="str">
            <v xml:space="preserve">      </v>
          </cell>
          <cell r="I2798">
            <v>0</v>
          </cell>
          <cell r="J2798">
            <v>0</v>
          </cell>
          <cell r="K2798">
            <v>0</v>
          </cell>
          <cell r="L2798">
            <v>0</v>
          </cell>
        </row>
        <row r="2799">
          <cell r="D2799" t="str">
            <v xml:space="preserve">  P.325.            </v>
          </cell>
          <cell r="E2799" t="str">
            <v>CP1703</v>
          </cell>
          <cell r="F2799" t="str">
            <v>16.10.3.</v>
          </cell>
          <cell r="G2799" t="str">
            <v xml:space="preserve">Eletroduto PVC rígido rosca bsp ABNT 744 classe b NBR 6150 antichama com uma luva Dn (2) 50 mm  </v>
          </cell>
          <cell r="H2799" t="str">
            <v xml:space="preserve">pc    </v>
          </cell>
          <cell r="I2799">
            <v>55</v>
          </cell>
          <cell r="J2799">
            <v>40.590000000000003</v>
          </cell>
          <cell r="K2799">
            <v>57.98</v>
          </cell>
          <cell r="L2799">
            <v>2232.4499999999998</v>
          </cell>
        </row>
        <row r="2800">
          <cell r="D2800" t="str">
            <v xml:space="preserve">  P.326.            </v>
          </cell>
          <cell r="E2800" t="str">
            <v>CP1689</v>
          </cell>
          <cell r="F2800" t="str">
            <v>16.10.4.</v>
          </cell>
          <cell r="G2800" t="str">
            <v xml:space="preserve">Eletroduto PVC rígido rosca bsp ABNT 744 classe b NBR 6150 antichama com uma luva Dn (3) 75 m  </v>
          </cell>
          <cell r="H2800" t="str">
            <v xml:space="preserve">pc    </v>
          </cell>
          <cell r="I2800">
            <v>70</v>
          </cell>
          <cell r="J2800">
            <v>91.68</v>
          </cell>
          <cell r="K2800">
            <v>130.97</v>
          </cell>
          <cell r="L2800">
            <v>6417.6</v>
          </cell>
        </row>
        <row r="2801">
          <cell r="D2801" t="str">
            <v xml:space="preserve">  P.327.            </v>
          </cell>
          <cell r="E2801" t="str">
            <v xml:space="preserve">      </v>
          </cell>
          <cell r="F2801" t="str">
            <v>16.10.5.</v>
          </cell>
          <cell r="G2801" t="str">
            <v xml:space="preserve">Eletroduto aço carbono com costura ABNT NBR 5624 pesado classe i, zincado, com uma luva, parede de espessura 3,75 mm, comp. de 3000 mm  </v>
          </cell>
          <cell r="H2801" t="str">
            <v xml:space="preserve">      </v>
          </cell>
          <cell r="I2801">
            <v>0</v>
          </cell>
          <cell r="J2801">
            <v>0</v>
          </cell>
          <cell r="K2801">
            <v>0</v>
          </cell>
          <cell r="L2801">
            <v>0</v>
          </cell>
        </row>
        <row r="2802">
          <cell r="D2802" t="str">
            <v xml:space="preserve">  P.328.            </v>
          </cell>
          <cell r="E2802" t="str">
            <v>CP1970</v>
          </cell>
          <cell r="F2802" t="str">
            <v>16.10.6.</v>
          </cell>
          <cell r="G2802" t="str">
            <v xml:space="preserve">Eletroduto aço carbono com costura ABNT NBR 5624 pesado classe i, zincado, com uma luva, parede de espessura 3,75 mm, comp. de 3000 mm Dn (3/4) 20 mm  </v>
          </cell>
          <cell r="H2802" t="str">
            <v xml:space="preserve">m     </v>
          </cell>
          <cell r="I2802">
            <v>12</v>
          </cell>
          <cell r="J2802">
            <v>11.9</v>
          </cell>
          <cell r="K2802">
            <v>9.9600000000000009</v>
          </cell>
          <cell r="L2802">
            <v>142.80000000000001</v>
          </cell>
        </row>
        <row r="2803">
          <cell r="D2803" t="str">
            <v xml:space="preserve">  P.329.            </v>
          </cell>
          <cell r="E2803" t="str">
            <v>CP1940</v>
          </cell>
          <cell r="F2803" t="str">
            <v>16.10.7.</v>
          </cell>
          <cell r="G2803" t="str">
            <v xml:space="preserve">Eletroduto aço carbono com costura ABNT NBR 5624 pesado classe i, zincado, com uma luva, parede de espessura 3,75 mm, comp. de 3000 mm Dn (1) 25 mm  </v>
          </cell>
          <cell r="H2803" t="str">
            <v xml:space="preserve">m     </v>
          </cell>
          <cell r="I2803">
            <v>15</v>
          </cell>
          <cell r="J2803">
            <v>15.57</v>
          </cell>
          <cell r="K2803">
            <v>13.06</v>
          </cell>
          <cell r="L2803">
            <v>233.55</v>
          </cell>
        </row>
        <row r="2804">
          <cell r="D2804" t="str">
            <v xml:space="preserve">  P.330.            </v>
          </cell>
          <cell r="E2804" t="str">
            <v>CP1818</v>
          </cell>
          <cell r="F2804" t="str">
            <v>16.10.8.</v>
          </cell>
          <cell r="G2804" t="str">
            <v xml:space="preserve">Eletroduto aço carbono com costura ABNT NBR 5624 pesado classe i, zincado, com uma luva, parede de espessura 3,75 mm, comp. de 3000 mm Dn (2) 50 mm  </v>
          </cell>
          <cell r="H2804" t="str">
            <v xml:space="preserve">m     </v>
          </cell>
          <cell r="I2804">
            <v>23</v>
          </cell>
          <cell r="J2804">
            <v>34.049999999999997</v>
          </cell>
          <cell r="K2804">
            <v>28.54</v>
          </cell>
          <cell r="L2804">
            <v>783.15</v>
          </cell>
        </row>
        <row r="2805">
          <cell r="D2805" t="str">
            <v xml:space="preserve">  P.331.            </v>
          </cell>
          <cell r="E2805" t="str">
            <v xml:space="preserve">      </v>
          </cell>
          <cell r="F2805" t="str">
            <v>16.10.9.</v>
          </cell>
          <cell r="G2805" t="str">
            <v xml:space="preserve">Bucha e arruela ferro galvanizado  </v>
          </cell>
          <cell r="H2805" t="str">
            <v xml:space="preserve">      </v>
          </cell>
          <cell r="I2805">
            <v>0</v>
          </cell>
          <cell r="J2805">
            <v>0</v>
          </cell>
          <cell r="K2805">
            <v>0</v>
          </cell>
          <cell r="L2805">
            <v>0</v>
          </cell>
        </row>
        <row r="2806">
          <cell r="D2806" t="str">
            <v xml:space="preserve">  P.332.            </v>
          </cell>
          <cell r="E2806" t="str">
            <v>CP2311</v>
          </cell>
          <cell r="F2806" t="str">
            <v>16.10.10.</v>
          </cell>
          <cell r="G2806" t="str">
            <v xml:space="preserve">Bucha e arruela ferro galvanizado Dn (3/4) 20 mm  </v>
          </cell>
          <cell r="H2806" t="str">
            <v xml:space="preserve">pc    </v>
          </cell>
          <cell r="I2806">
            <v>6</v>
          </cell>
          <cell r="J2806">
            <v>1.03</v>
          </cell>
          <cell r="K2806">
            <v>1.32</v>
          </cell>
          <cell r="L2806">
            <v>6.18</v>
          </cell>
        </row>
        <row r="2807">
          <cell r="D2807" t="str">
            <v xml:space="preserve">  P.333.            </v>
          </cell>
          <cell r="E2807" t="str">
            <v xml:space="preserve">      </v>
          </cell>
          <cell r="F2807" t="str">
            <v>16.10.11.</v>
          </cell>
          <cell r="G2807" t="str">
            <v xml:space="preserve">Braçadeira tipo d  </v>
          </cell>
          <cell r="H2807" t="str">
            <v xml:space="preserve">      </v>
          </cell>
          <cell r="I2807">
            <v>0</v>
          </cell>
          <cell r="J2807">
            <v>0</v>
          </cell>
          <cell r="K2807">
            <v>0</v>
          </cell>
          <cell r="L2807">
            <v>0</v>
          </cell>
        </row>
        <row r="2808">
          <cell r="D2808" t="str">
            <v xml:space="preserve">  P.334.            </v>
          </cell>
          <cell r="E2808" t="str">
            <v>CP2297</v>
          </cell>
          <cell r="F2808" t="str">
            <v>16.10.12.</v>
          </cell>
          <cell r="G2808" t="str">
            <v xml:space="preserve">Braçadeira tipo d Dn (3/4) 20 mm  </v>
          </cell>
          <cell r="H2808" t="str">
            <v xml:space="preserve">pc    </v>
          </cell>
          <cell r="I2808">
            <v>4</v>
          </cell>
          <cell r="J2808">
            <v>5.17</v>
          </cell>
          <cell r="K2808">
            <v>7.38</v>
          </cell>
          <cell r="L2808">
            <v>20.68</v>
          </cell>
        </row>
        <row r="2809">
          <cell r="D2809" t="str">
            <v xml:space="preserve">  P.335.            </v>
          </cell>
          <cell r="E2809" t="str">
            <v xml:space="preserve">      </v>
          </cell>
          <cell r="F2809" t="str">
            <v>16.10.13.</v>
          </cell>
          <cell r="G2809" t="str">
            <v xml:space="preserve">Cabos e acessórios  </v>
          </cell>
          <cell r="H2809" t="str">
            <v xml:space="preserve">      </v>
          </cell>
          <cell r="I2809">
            <v>0</v>
          </cell>
          <cell r="J2809">
            <v>0</v>
          </cell>
          <cell r="K2809">
            <v>0</v>
          </cell>
          <cell r="L2809">
            <v>0</v>
          </cell>
        </row>
        <row r="2810">
          <cell r="D2810" t="str">
            <v xml:space="preserve">  P.336.            </v>
          </cell>
          <cell r="E2810" t="str">
            <v xml:space="preserve">      </v>
          </cell>
          <cell r="F2810" t="str">
            <v>16.10.14.</v>
          </cell>
          <cell r="G2810" t="str">
            <v xml:space="preserve">Cabo cobre, tempera mole, EPR, 90oc, 0,6/1kV Pirelli Afumex ou equivalente  </v>
          </cell>
          <cell r="H2810" t="str">
            <v xml:space="preserve">      </v>
          </cell>
          <cell r="I2810">
            <v>0</v>
          </cell>
          <cell r="J2810">
            <v>0</v>
          </cell>
          <cell r="K2810">
            <v>0</v>
          </cell>
          <cell r="L2810">
            <v>0</v>
          </cell>
        </row>
        <row r="2811">
          <cell r="D2811" t="str">
            <v xml:space="preserve">  P.337.            </v>
          </cell>
          <cell r="E2811" t="str">
            <v>CP5027</v>
          </cell>
          <cell r="F2811" t="str">
            <v>16.10.15.</v>
          </cell>
          <cell r="G2811" t="str">
            <v xml:space="preserve">Cabo cobre, tempera mole, EPR, 90oc, 0,6/1kV Pirelli Afumex ou equivalente 1x3(2,5mm)  </v>
          </cell>
          <cell r="H2811" t="str">
            <v xml:space="preserve">m     </v>
          </cell>
          <cell r="I2811">
            <v>110</v>
          </cell>
          <cell r="J2811">
            <v>6.12</v>
          </cell>
          <cell r="K2811">
            <v>5.82</v>
          </cell>
          <cell r="L2811">
            <v>673.2</v>
          </cell>
        </row>
        <row r="2812">
          <cell r="D2812" t="str">
            <v xml:space="preserve">  P.338.            </v>
          </cell>
          <cell r="E2812" t="str">
            <v>CP5034</v>
          </cell>
          <cell r="F2812" t="str">
            <v>16.10.16.</v>
          </cell>
          <cell r="G2812" t="str">
            <v xml:space="preserve">Cabo cobre, tempera mole, EPR, 90oc, 0,6/1kV Pirelli Afumex ou equivalente 1x4(4,0mm)  </v>
          </cell>
          <cell r="H2812" t="str">
            <v xml:space="preserve">m     </v>
          </cell>
          <cell r="I2812">
            <v>155</v>
          </cell>
          <cell r="J2812">
            <v>10.82</v>
          </cell>
          <cell r="K2812">
            <v>9.0299999999999994</v>
          </cell>
          <cell r="L2812">
            <v>1677.1</v>
          </cell>
        </row>
        <row r="2813">
          <cell r="D2813" t="str">
            <v xml:space="preserve">  P.339.            </v>
          </cell>
          <cell r="E2813" t="str">
            <v>CP5030</v>
          </cell>
          <cell r="F2813" t="str">
            <v>16.10.17.</v>
          </cell>
          <cell r="G2813" t="str">
            <v xml:space="preserve">Cabo cobre, tempera mole, EPR, 90oc, 0,6/1kV Pirelli Afumex ou equivalente 1x4(10mm)  </v>
          </cell>
          <cell r="H2813" t="str">
            <v xml:space="preserve">m     </v>
          </cell>
          <cell r="I2813">
            <v>65</v>
          </cell>
          <cell r="J2813">
            <v>28.32</v>
          </cell>
          <cell r="K2813">
            <v>23.78</v>
          </cell>
          <cell r="L2813">
            <v>1840.8</v>
          </cell>
        </row>
        <row r="2814">
          <cell r="D2814" t="str">
            <v xml:space="preserve">  P.340.            </v>
          </cell>
          <cell r="E2814" t="str">
            <v>CP5017</v>
          </cell>
          <cell r="F2814" t="str">
            <v>16.10.18.</v>
          </cell>
          <cell r="G2814" t="str">
            <v xml:space="preserve">Cabo cobre, tempera mole, EPR, 90oc, 0,6/1kV Pirelli Afumex ou equivalente #25mm  </v>
          </cell>
          <cell r="H2814" t="str">
            <v xml:space="preserve">m     </v>
          </cell>
          <cell r="I2814">
            <v>100</v>
          </cell>
          <cell r="J2814">
            <v>14.92</v>
          </cell>
          <cell r="K2814">
            <v>12.54</v>
          </cell>
          <cell r="L2814">
            <v>1492</v>
          </cell>
        </row>
        <row r="2815">
          <cell r="D2815" t="str">
            <v xml:space="preserve">  P.341.            </v>
          </cell>
          <cell r="E2815" t="str">
            <v>CP5037</v>
          </cell>
          <cell r="F2815" t="str">
            <v>16.10.19.</v>
          </cell>
          <cell r="G2815" t="str">
            <v xml:space="preserve">Cabo cobre, tempera mole, EPR, 90oc, 0,6/1kV Pirelli Afumex ou equivalente #50mm  </v>
          </cell>
          <cell r="H2815" t="str">
            <v xml:space="preserve">m     </v>
          </cell>
          <cell r="I2815">
            <v>250</v>
          </cell>
          <cell r="J2815">
            <v>25.56</v>
          </cell>
          <cell r="K2815">
            <v>24.98</v>
          </cell>
          <cell r="L2815">
            <v>6390</v>
          </cell>
        </row>
        <row r="2816">
          <cell r="D2816" t="str">
            <v xml:space="preserve">  P.342.            </v>
          </cell>
          <cell r="E2816" t="str">
            <v>CP5022</v>
          </cell>
          <cell r="F2816" t="str">
            <v>16.10.20.</v>
          </cell>
          <cell r="G2816" t="str">
            <v xml:space="preserve">Cabo cobre, tempera mole, EPR, 90oc, 0,6/1kV Pirelli Afumex ou equivalente #70mm  </v>
          </cell>
          <cell r="H2816" t="str">
            <v xml:space="preserve">m     </v>
          </cell>
          <cell r="I2816">
            <v>480</v>
          </cell>
          <cell r="J2816">
            <v>34.68</v>
          </cell>
          <cell r="K2816">
            <v>35.07</v>
          </cell>
          <cell r="L2816">
            <v>16646.400000000001</v>
          </cell>
        </row>
        <row r="2817">
          <cell r="D2817" t="str">
            <v xml:space="preserve">  P.343.            </v>
          </cell>
          <cell r="E2817" t="str">
            <v xml:space="preserve">      </v>
          </cell>
          <cell r="F2817" t="str">
            <v>16.10.21.</v>
          </cell>
          <cell r="G2817" t="str">
            <v xml:space="preserve">Cabo cobre, tempera mole, PVC, 70oc, 0,6/1kV NBR-7288, NBR-6245, NBR-6812  </v>
          </cell>
          <cell r="H2817" t="str">
            <v xml:space="preserve">      </v>
          </cell>
          <cell r="I2817">
            <v>0</v>
          </cell>
          <cell r="J2817">
            <v>0</v>
          </cell>
          <cell r="K2817">
            <v>0</v>
          </cell>
          <cell r="L2817">
            <v>0</v>
          </cell>
        </row>
        <row r="2818">
          <cell r="D2818" t="str">
            <v xml:space="preserve">  P.344.            </v>
          </cell>
          <cell r="E2818" t="str">
            <v>CP1922</v>
          </cell>
          <cell r="F2818" t="str">
            <v>16.10.22.</v>
          </cell>
          <cell r="G2818" t="str">
            <v xml:space="preserve">Cabo cobre, tempera mole, PVC, 70oc, 0,6/1kV NBR-7288, NBR-6245, NBR-6812 1x6(1,5mm)  </v>
          </cell>
          <cell r="H2818" t="str">
            <v xml:space="preserve">m     </v>
          </cell>
          <cell r="I2818">
            <v>235</v>
          </cell>
          <cell r="J2818">
            <v>8.43</v>
          </cell>
          <cell r="K2818">
            <v>7.06</v>
          </cell>
          <cell r="L2818">
            <v>1981.05</v>
          </cell>
        </row>
        <row r="2819">
          <cell r="D2819" t="str">
            <v xml:space="preserve">  P.345.            </v>
          </cell>
          <cell r="E2819" t="str">
            <v>CP2189</v>
          </cell>
          <cell r="F2819" t="str">
            <v>16.10.23.</v>
          </cell>
          <cell r="G2819" t="str">
            <v xml:space="preserve">Cabo cobre, tempera mole, PVC, 70oc, 0,6/1kV NBR-7288, NBR-6245, NBR-6812 Coaxial  </v>
          </cell>
          <cell r="H2819" t="str">
            <v xml:space="preserve">m     </v>
          </cell>
          <cell r="I2819">
            <v>170</v>
          </cell>
          <cell r="J2819">
            <v>4.28</v>
          </cell>
          <cell r="K2819">
            <v>3.59</v>
          </cell>
          <cell r="L2819">
            <v>727.6</v>
          </cell>
        </row>
        <row r="2820">
          <cell r="D2820" t="str">
            <v xml:space="preserve">  P.346.            </v>
          </cell>
          <cell r="E2820" t="str">
            <v>CP2026</v>
          </cell>
          <cell r="F2820" t="str">
            <v>16.10.24.</v>
          </cell>
          <cell r="G2820" t="str">
            <v xml:space="preserve">Cabo cobre, tempera mole, PVC, 70oc, 0,6/1kV NBR-7288, NBR-6245, NBR-6812 1x3(1,5mm) Blindado  </v>
          </cell>
          <cell r="H2820" t="str">
            <v xml:space="preserve">m     </v>
          </cell>
          <cell r="I2820">
            <v>85</v>
          </cell>
          <cell r="J2820">
            <v>10.69</v>
          </cell>
          <cell r="K2820">
            <v>8.91</v>
          </cell>
          <cell r="L2820">
            <v>908.65</v>
          </cell>
        </row>
        <row r="2821">
          <cell r="D2821" t="str">
            <v xml:space="preserve">  P.347.            </v>
          </cell>
          <cell r="E2821" t="str">
            <v>CP2143</v>
          </cell>
          <cell r="F2821" t="str">
            <v>16.10.25.</v>
          </cell>
          <cell r="G2821" t="str">
            <v xml:space="preserve">Cabo cobre, tempera mole, PVC, 70oc, 0,6/1kV NBR-7288, NBR-6245, NBR-6812 1x2(1,5mm) Blindado  </v>
          </cell>
          <cell r="H2821" t="str">
            <v xml:space="preserve">m     </v>
          </cell>
          <cell r="I2821">
            <v>100</v>
          </cell>
          <cell r="J2821">
            <v>9.6199999999999992</v>
          </cell>
          <cell r="K2821">
            <v>8.0399999999999991</v>
          </cell>
          <cell r="L2821">
            <v>962</v>
          </cell>
        </row>
        <row r="2822">
          <cell r="D2822" t="str">
            <v xml:space="preserve">  P.348.            </v>
          </cell>
          <cell r="E2822" t="str">
            <v xml:space="preserve">      </v>
          </cell>
          <cell r="F2822" t="str">
            <v>16.10.26.</v>
          </cell>
          <cell r="G2822" t="str">
            <v xml:space="preserve">Cabo cobre, tempera mole, PVC, 70oc, 0,45/0.7kV NBR-6880, NBR-6148  </v>
          </cell>
          <cell r="H2822" t="str">
            <v xml:space="preserve">      </v>
          </cell>
          <cell r="I2822">
            <v>0</v>
          </cell>
          <cell r="J2822">
            <v>0</v>
          </cell>
          <cell r="K2822">
            <v>0</v>
          </cell>
          <cell r="L2822">
            <v>0</v>
          </cell>
        </row>
        <row r="2823">
          <cell r="D2823" t="str">
            <v xml:space="preserve">  P.349.            </v>
          </cell>
          <cell r="E2823" t="str">
            <v>CP2299</v>
          </cell>
          <cell r="F2823" t="str">
            <v>16.10.27.</v>
          </cell>
          <cell r="G2823" t="str">
            <v xml:space="preserve">Cabo cobre, tempera mole, PVC, 70oc, 0,45/0.7kV NBR-6880, NBR-6148 #2,5mm  </v>
          </cell>
          <cell r="H2823" t="str">
            <v xml:space="preserve">m     </v>
          </cell>
          <cell r="I2823">
            <v>30</v>
          </cell>
          <cell r="J2823">
            <v>2.79</v>
          </cell>
          <cell r="K2823">
            <v>2.37</v>
          </cell>
          <cell r="L2823">
            <v>83.7</v>
          </cell>
        </row>
        <row r="2824">
          <cell r="D2824" t="str">
            <v xml:space="preserve">  P.350.            </v>
          </cell>
          <cell r="E2824" t="str">
            <v xml:space="preserve">      </v>
          </cell>
          <cell r="F2824" t="str">
            <v>16.10.28.</v>
          </cell>
          <cell r="G2824" t="str">
            <v xml:space="preserve">Conduletes  </v>
          </cell>
          <cell r="H2824" t="str">
            <v xml:space="preserve">      </v>
          </cell>
          <cell r="I2824">
            <v>0</v>
          </cell>
          <cell r="J2824">
            <v>0</v>
          </cell>
          <cell r="K2824">
            <v>0</v>
          </cell>
          <cell r="L2824">
            <v>0</v>
          </cell>
        </row>
        <row r="2825">
          <cell r="D2825" t="str">
            <v xml:space="preserve">  P.351.            </v>
          </cell>
          <cell r="E2825" t="str">
            <v>CP1952</v>
          </cell>
          <cell r="F2825" t="str">
            <v>16.10.29.</v>
          </cell>
          <cell r="G2825" t="str">
            <v xml:space="preserve">Condulete em liga de alumínio fundido a prova de tempo, umidade, gases, vapores e pó - com Junta de vedação em neoprene rosca bsb (gás) conforme norma ANSI b-2.1 Ø (3/4) 20 mm  </v>
          </cell>
          <cell r="H2825" t="str">
            <v xml:space="preserve">pc    </v>
          </cell>
          <cell r="I2825">
            <v>5</v>
          </cell>
          <cell r="J2825">
            <v>17.41</v>
          </cell>
          <cell r="K2825">
            <v>14.51</v>
          </cell>
          <cell r="L2825">
            <v>87.05</v>
          </cell>
        </row>
        <row r="2826">
          <cell r="D2826" t="str">
            <v xml:space="preserve">  P.352.            </v>
          </cell>
          <cell r="E2826" t="str">
            <v>CP1910</v>
          </cell>
          <cell r="F2826" t="str">
            <v>16.10.30.</v>
          </cell>
          <cell r="G2826" t="str">
            <v xml:space="preserve">Interruptor em condulete 20 mm Tipo simples 01 tecla  </v>
          </cell>
          <cell r="H2826" t="str">
            <v xml:space="preserve">pc    </v>
          </cell>
          <cell r="I2826">
            <v>1</v>
          </cell>
          <cell r="J2826">
            <v>24.08</v>
          </cell>
          <cell r="K2826">
            <v>20.2</v>
          </cell>
          <cell r="L2826">
            <v>24.08</v>
          </cell>
        </row>
        <row r="2827">
          <cell r="D2827" t="str">
            <v xml:space="preserve">  P.353.            </v>
          </cell>
          <cell r="E2827" t="str">
            <v>CP1857</v>
          </cell>
          <cell r="F2827" t="str">
            <v>16.10.31.</v>
          </cell>
          <cell r="G2827" t="str">
            <v xml:space="preserve">Tomadas em condulete 20 mm Tipo 2p+t (pino redondo, tipo universal)  </v>
          </cell>
          <cell r="H2827" t="str">
            <v xml:space="preserve">pc    </v>
          </cell>
          <cell r="I2827">
            <v>1</v>
          </cell>
          <cell r="J2827">
            <v>17.559999999999999</v>
          </cell>
          <cell r="K2827">
            <v>14.75</v>
          </cell>
          <cell r="L2827">
            <v>17.559999999999999</v>
          </cell>
        </row>
        <row r="2828">
          <cell r="D2828" t="str">
            <v xml:space="preserve">  P.354.            </v>
          </cell>
          <cell r="E2828" t="str">
            <v xml:space="preserve">      </v>
          </cell>
          <cell r="F2828" t="str">
            <v>16.10.32.</v>
          </cell>
          <cell r="G2828" t="str">
            <v xml:space="preserve">Luminárias  </v>
          </cell>
          <cell r="H2828" t="str">
            <v xml:space="preserve">      </v>
          </cell>
          <cell r="I2828">
            <v>0</v>
          </cell>
          <cell r="J2828">
            <v>0</v>
          </cell>
          <cell r="K2828">
            <v>0</v>
          </cell>
          <cell r="L2828">
            <v>0</v>
          </cell>
        </row>
        <row r="2829">
          <cell r="D2829" t="str">
            <v xml:space="preserve">  P.355.            </v>
          </cell>
          <cell r="E2829" t="str">
            <v>CP1651</v>
          </cell>
          <cell r="F2829" t="str">
            <v>16.10.33.</v>
          </cell>
          <cell r="G2829" t="str">
            <v>Luminária 2X32W, de sobrepor, corpo em chapa de aço tratada e pintura eletrostática branca. Refletor em chapa de alumínio anodizado brilhante, de alta pureza e reator eletrônico, de alto fator de potência, alojado na cabeceira e acompanhado de lâmpadas, a</v>
          </cell>
          <cell r="H2829" t="str">
            <v xml:space="preserve">pc    </v>
          </cell>
          <cell r="I2829">
            <v>1</v>
          </cell>
          <cell r="J2829">
            <v>104.77</v>
          </cell>
          <cell r="K2829">
            <v>87.99</v>
          </cell>
          <cell r="L2829">
            <v>104.77</v>
          </cell>
        </row>
        <row r="2830">
          <cell r="D2830" t="str">
            <v xml:space="preserve">  P.356.            </v>
          </cell>
          <cell r="E2830" t="str">
            <v xml:space="preserve">      </v>
          </cell>
          <cell r="F2830" t="str">
            <v>16.10.34.</v>
          </cell>
          <cell r="G2830" t="str">
            <v xml:space="preserve">Serviço  </v>
          </cell>
          <cell r="H2830" t="str">
            <v xml:space="preserve">      </v>
          </cell>
          <cell r="I2830">
            <v>0</v>
          </cell>
          <cell r="J2830">
            <v>0</v>
          </cell>
          <cell r="K2830">
            <v>0</v>
          </cell>
          <cell r="L2830">
            <v>0</v>
          </cell>
        </row>
        <row r="2831">
          <cell r="D2831" t="str">
            <v xml:space="preserve">  P.357.            </v>
          </cell>
          <cell r="E2831" t="str">
            <v>CP1388</v>
          </cell>
          <cell r="F2831" t="str">
            <v>16.10.35.</v>
          </cell>
          <cell r="G2831" t="str">
            <v xml:space="preserve">Execução de abrigo para o QF-Armazenamento, tam. 5,00 x 500 x 2,80m,  </v>
          </cell>
          <cell r="H2831" t="str">
            <v xml:space="preserve">un    </v>
          </cell>
          <cell r="I2831">
            <v>1</v>
          </cell>
          <cell r="J2831">
            <v>4694.7299999999996</v>
          </cell>
          <cell r="K2831">
            <v>4442.68</v>
          </cell>
          <cell r="L2831">
            <v>4694.7299999999996</v>
          </cell>
        </row>
        <row r="2832">
          <cell r="D2832" t="str">
            <v xml:space="preserve">  P.358.            </v>
          </cell>
          <cell r="E2832" t="str">
            <v xml:space="preserve">      </v>
          </cell>
          <cell r="F2832" t="str">
            <v>16.11.</v>
          </cell>
          <cell r="G2832" t="str">
            <v xml:space="preserve">Guarita  </v>
          </cell>
          <cell r="H2832" t="str">
            <v xml:space="preserve">      </v>
          </cell>
          <cell r="I2832">
            <v>0</v>
          </cell>
          <cell r="J2832">
            <v>0</v>
          </cell>
          <cell r="K2832">
            <v>0</v>
          </cell>
          <cell r="L2832">
            <v>0</v>
          </cell>
        </row>
        <row r="2833">
          <cell r="D2833" t="str">
            <v xml:space="preserve">  P.359.            </v>
          </cell>
          <cell r="E2833" t="str">
            <v xml:space="preserve">      </v>
          </cell>
          <cell r="F2833" t="str">
            <v>16.11.1.</v>
          </cell>
          <cell r="G2833" t="str">
            <v xml:space="preserve">Fornecimento e instalação  </v>
          </cell>
          <cell r="H2833" t="str">
            <v xml:space="preserve">      </v>
          </cell>
          <cell r="I2833">
            <v>0</v>
          </cell>
          <cell r="J2833">
            <v>0</v>
          </cell>
          <cell r="K2833">
            <v>0</v>
          </cell>
          <cell r="L2833">
            <v>0</v>
          </cell>
        </row>
        <row r="2834">
          <cell r="D2834" t="str">
            <v xml:space="preserve">  P.360.            </v>
          </cell>
          <cell r="E2834" t="str">
            <v>CP1703</v>
          </cell>
          <cell r="F2834" t="str">
            <v>16.11.2.</v>
          </cell>
          <cell r="G2834" t="str">
            <v xml:space="preserve">Eletroduto PVC rígido rosca bsp ABNT 744 classe b NBR 6150 antichama com uma luva Dn (2) 50 mm  </v>
          </cell>
          <cell r="H2834" t="str">
            <v xml:space="preserve">pc    </v>
          </cell>
          <cell r="I2834">
            <v>6</v>
          </cell>
          <cell r="J2834">
            <v>40.590000000000003</v>
          </cell>
          <cell r="K2834">
            <v>57.98</v>
          </cell>
          <cell r="L2834">
            <v>243.54</v>
          </cell>
        </row>
        <row r="2835">
          <cell r="D2835" t="str">
            <v xml:space="preserve">  P.361.            </v>
          </cell>
          <cell r="E2835" t="str">
            <v>CP1883</v>
          </cell>
          <cell r="F2835" t="str">
            <v>16.11.3.</v>
          </cell>
          <cell r="G2835" t="str">
            <v xml:space="preserve">Curva eletroduto PVC rígido rosca bsp ABNT eb 744 classe b NBR 6150 antichama 90o Dn (2") 50 mm  </v>
          </cell>
          <cell r="H2835" t="str">
            <v xml:space="preserve">pc    </v>
          </cell>
          <cell r="I2835">
            <v>2</v>
          </cell>
          <cell r="J2835">
            <v>16.18</v>
          </cell>
          <cell r="K2835">
            <v>14.8</v>
          </cell>
          <cell r="L2835">
            <v>32.36</v>
          </cell>
        </row>
        <row r="2836">
          <cell r="D2836" t="str">
            <v xml:space="preserve">  P.362.            </v>
          </cell>
          <cell r="E2836" t="str">
            <v>CP1970</v>
          </cell>
          <cell r="F2836" t="str">
            <v>16.11.4.</v>
          </cell>
          <cell r="G2836" t="str">
            <v xml:space="preserve">Eletroduto aço carbono com costura ABNT NBR 5624 pesado classe i, zincado, com uma luva, parede de espessura 3,75 mm, comp. de 3000 mm Dn (3/4) 20 mm  </v>
          </cell>
          <cell r="H2836" t="str">
            <v xml:space="preserve">m     </v>
          </cell>
          <cell r="I2836">
            <v>4</v>
          </cell>
          <cell r="J2836">
            <v>11.9</v>
          </cell>
          <cell r="K2836">
            <v>9.9600000000000009</v>
          </cell>
          <cell r="L2836">
            <v>47.6</v>
          </cell>
        </row>
        <row r="2837">
          <cell r="D2837" t="str">
            <v xml:space="preserve">  P.363.            </v>
          </cell>
          <cell r="E2837" t="str">
            <v>CP2311</v>
          </cell>
          <cell r="F2837" t="str">
            <v>16.11.5.</v>
          </cell>
          <cell r="G2837" t="str">
            <v xml:space="preserve">Bucha e arruela ferro galvanizado Dn (3/4) 20 mm  </v>
          </cell>
          <cell r="H2837" t="str">
            <v xml:space="preserve">pc    </v>
          </cell>
          <cell r="I2837">
            <v>6</v>
          </cell>
          <cell r="J2837">
            <v>1.03</v>
          </cell>
          <cell r="K2837">
            <v>1.32</v>
          </cell>
          <cell r="L2837">
            <v>6.18</v>
          </cell>
        </row>
        <row r="2838">
          <cell r="D2838" t="str">
            <v xml:space="preserve">  P.364.            </v>
          </cell>
          <cell r="E2838" t="str">
            <v>CP2297</v>
          </cell>
          <cell r="F2838" t="str">
            <v>16.11.6.</v>
          </cell>
          <cell r="G2838" t="str">
            <v xml:space="preserve">Braçadeira tipo d Dn(3/4)20mm  </v>
          </cell>
          <cell r="H2838" t="str">
            <v xml:space="preserve">pc    </v>
          </cell>
          <cell r="I2838">
            <v>8</v>
          </cell>
          <cell r="J2838">
            <v>5.17</v>
          </cell>
          <cell r="K2838">
            <v>7.38</v>
          </cell>
          <cell r="L2838">
            <v>41.36</v>
          </cell>
        </row>
        <row r="2839">
          <cell r="D2839" t="str">
            <v xml:space="preserve">  P.365.            </v>
          </cell>
          <cell r="E2839" t="str">
            <v xml:space="preserve">      </v>
          </cell>
          <cell r="F2839" t="str">
            <v>16.11.7.</v>
          </cell>
          <cell r="G2839" t="str">
            <v xml:space="preserve">Cabos e acessórios  </v>
          </cell>
          <cell r="H2839" t="str">
            <v xml:space="preserve">      </v>
          </cell>
          <cell r="I2839">
            <v>0</v>
          </cell>
          <cell r="J2839">
            <v>0</v>
          </cell>
          <cell r="K2839">
            <v>0</v>
          </cell>
          <cell r="L2839">
            <v>0</v>
          </cell>
        </row>
        <row r="2840">
          <cell r="D2840" t="str">
            <v xml:space="preserve">  P.366.            </v>
          </cell>
          <cell r="E2840" t="str">
            <v>CP2299</v>
          </cell>
          <cell r="F2840" t="str">
            <v>16.11.8.</v>
          </cell>
          <cell r="G2840" t="str">
            <v xml:space="preserve">Cabo cobre, tempera mole, PVC, 70oc, 0,45/0.7kV NBR-6880, NBR-6148 #2,5mm  </v>
          </cell>
          <cell r="H2840" t="str">
            <v xml:space="preserve">m     </v>
          </cell>
          <cell r="I2840">
            <v>60</v>
          </cell>
          <cell r="J2840">
            <v>2.79</v>
          </cell>
          <cell r="K2840">
            <v>2.37</v>
          </cell>
          <cell r="L2840">
            <v>167.4</v>
          </cell>
        </row>
        <row r="2841">
          <cell r="D2841" t="str">
            <v xml:space="preserve">  P.367.            </v>
          </cell>
          <cell r="E2841" t="str">
            <v>CP1952</v>
          </cell>
          <cell r="F2841" t="str">
            <v>16.11.9.</v>
          </cell>
          <cell r="G2841" t="str">
            <v xml:space="preserve">Condulete em liga de alumínio fundido a prova de tempo, umidade, gases, vapores e pó - com Junta de vedação em neoprene rosca bsb (gás) conforme norma ANSI b-2.1 Ø (3/4) 20 mm  </v>
          </cell>
          <cell r="H2841" t="str">
            <v xml:space="preserve">pc    </v>
          </cell>
          <cell r="I2841">
            <v>6</v>
          </cell>
          <cell r="J2841">
            <v>17.41</v>
          </cell>
          <cell r="K2841">
            <v>14.51</v>
          </cell>
          <cell r="L2841">
            <v>104.46</v>
          </cell>
        </row>
        <row r="2842">
          <cell r="D2842" t="str">
            <v xml:space="preserve">  P.368.            </v>
          </cell>
          <cell r="E2842" t="str">
            <v xml:space="preserve">      </v>
          </cell>
          <cell r="F2842" t="str">
            <v>16.11.10.</v>
          </cell>
          <cell r="G2842" t="str">
            <v xml:space="preserve">Interruptor em condulete 20 mm  </v>
          </cell>
          <cell r="H2842" t="str">
            <v xml:space="preserve">      </v>
          </cell>
          <cell r="I2842">
            <v>0</v>
          </cell>
          <cell r="J2842">
            <v>0</v>
          </cell>
          <cell r="K2842">
            <v>0</v>
          </cell>
          <cell r="L2842">
            <v>0</v>
          </cell>
        </row>
        <row r="2843">
          <cell r="D2843" t="str">
            <v xml:space="preserve">  P.369.            </v>
          </cell>
          <cell r="E2843" t="str">
            <v>CP1910</v>
          </cell>
          <cell r="F2843" t="str">
            <v>16.11.11.</v>
          </cell>
          <cell r="G2843" t="str">
            <v xml:space="preserve">Interruptor em condulete 20 mm Tipo simples 01 tecla  </v>
          </cell>
          <cell r="H2843" t="str">
            <v xml:space="preserve">pc    </v>
          </cell>
          <cell r="I2843">
            <v>1</v>
          </cell>
          <cell r="J2843">
            <v>24.08</v>
          </cell>
          <cell r="K2843">
            <v>20.2</v>
          </cell>
          <cell r="L2843">
            <v>24.08</v>
          </cell>
        </row>
        <row r="2844">
          <cell r="D2844" t="str">
            <v xml:space="preserve">  P.370.            </v>
          </cell>
          <cell r="E2844" t="str">
            <v>CP1899</v>
          </cell>
          <cell r="F2844" t="str">
            <v>16.11.12.</v>
          </cell>
          <cell r="G2844" t="str">
            <v xml:space="preserve">Interruptor em condulete 20 mm Tipo simples 02 teclas  </v>
          </cell>
          <cell r="H2844" t="str">
            <v xml:space="preserve">pc    </v>
          </cell>
          <cell r="I2844">
            <v>1</v>
          </cell>
          <cell r="J2844">
            <v>33.74</v>
          </cell>
          <cell r="K2844">
            <v>28.13</v>
          </cell>
          <cell r="L2844">
            <v>33.74</v>
          </cell>
        </row>
        <row r="2845">
          <cell r="D2845" t="str">
            <v xml:space="preserve">  P.371.            </v>
          </cell>
          <cell r="E2845" t="str">
            <v xml:space="preserve">      </v>
          </cell>
          <cell r="F2845" t="str">
            <v>16.11.13.</v>
          </cell>
          <cell r="G2845" t="str">
            <v xml:space="preserve">Tomadas em condulete 20 mm  </v>
          </cell>
          <cell r="H2845" t="str">
            <v xml:space="preserve">      </v>
          </cell>
          <cell r="I2845">
            <v>0</v>
          </cell>
          <cell r="J2845">
            <v>0</v>
          </cell>
          <cell r="K2845">
            <v>0</v>
          </cell>
          <cell r="L2845">
            <v>0</v>
          </cell>
        </row>
        <row r="2846">
          <cell r="D2846" t="str">
            <v xml:space="preserve">  P.372.            </v>
          </cell>
          <cell r="E2846" t="str">
            <v>CP1857</v>
          </cell>
          <cell r="F2846" t="str">
            <v>16.11.14.</v>
          </cell>
          <cell r="G2846" t="str">
            <v xml:space="preserve">Tomadas em condulete 20 mm Tipo 2p+t (pino redondo, tipo universal)  </v>
          </cell>
          <cell r="H2846" t="str">
            <v xml:space="preserve">pc    </v>
          </cell>
          <cell r="I2846">
            <v>3</v>
          </cell>
          <cell r="J2846">
            <v>17.559999999999999</v>
          </cell>
          <cell r="K2846">
            <v>14.75</v>
          </cell>
          <cell r="L2846">
            <v>52.68</v>
          </cell>
        </row>
        <row r="2847">
          <cell r="D2847" t="str">
            <v xml:space="preserve">  P.373.            </v>
          </cell>
          <cell r="E2847" t="str">
            <v xml:space="preserve">      </v>
          </cell>
          <cell r="F2847" t="str">
            <v>16.11.15.</v>
          </cell>
          <cell r="G2847" t="str">
            <v xml:space="preserve">Luminárias  </v>
          </cell>
          <cell r="H2847" t="str">
            <v xml:space="preserve">      </v>
          </cell>
          <cell r="I2847">
            <v>0</v>
          </cell>
          <cell r="J2847">
            <v>0</v>
          </cell>
          <cell r="K2847">
            <v>0</v>
          </cell>
          <cell r="L2847">
            <v>0</v>
          </cell>
        </row>
        <row r="2848">
          <cell r="D2848" t="str">
            <v xml:space="preserve">  P.374.            </v>
          </cell>
          <cell r="E2848" t="str">
            <v>CP1764</v>
          </cell>
          <cell r="F2848" t="str">
            <v>16.11.16.</v>
          </cell>
          <cell r="G2848" t="str">
            <v xml:space="preserve">Luminária para lâmpada incadescente 1x60W, de sobrepor, corpo em chapa de aço tratada e pintura eletrostática branca. Refletor em chapa de alumínio anodizado brilhante, mod. XP 618 Xoulux ou similar.  </v>
          </cell>
          <cell r="H2848" t="str">
            <v xml:space="preserve">pc    </v>
          </cell>
          <cell r="I2848">
            <v>1</v>
          </cell>
          <cell r="J2848">
            <v>119.51</v>
          </cell>
          <cell r="K2848">
            <v>148.5</v>
          </cell>
          <cell r="L2848">
            <v>119.51</v>
          </cell>
        </row>
        <row r="2849">
          <cell r="D2849" t="str">
            <v xml:space="preserve">  P.375.            </v>
          </cell>
          <cell r="E2849" t="str">
            <v>CP1651</v>
          </cell>
          <cell r="F2849" t="str">
            <v>16.11.17.</v>
          </cell>
          <cell r="G2849" t="str">
            <v>Luminária 2X32W, de sobrepor, corpo em chapa de aço tratada e pintura eletrostática branca. Refletor em chapa de alumínio anodizado brilhante, de alta pureza e reator eletrônico, de alto fator de potência, alojado na cabeceira e acompanhado de lâmpadas, a</v>
          </cell>
          <cell r="H2849" t="str">
            <v xml:space="preserve">pc    </v>
          </cell>
          <cell r="I2849">
            <v>2</v>
          </cell>
          <cell r="J2849">
            <v>104.77</v>
          </cell>
          <cell r="K2849">
            <v>87.99</v>
          </cell>
          <cell r="L2849">
            <v>209.54</v>
          </cell>
        </row>
        <row r="2850">
          <cell r="D2850" t="str">
            <v xml:space="preserve">  P.376.            </v>
          </cell>
          <cell r="E2850" t="str">
            <v xml:space="preserve">      </v>
          </cell>
          <cell r="F2850" t="str">
            <v>16.11.18.</v>
          </cell>
          <cell r="G2850" t="str">
            <v xml:space="preserve">Outros  </v>
          </cell>
          <cell r="H2850" t="str">
            <v xml:space="preserve">      </v>
          </cell>
          <cell r="I2850">
            <v>0</v>
          </cell>
          <cell r="J2850">
            <v>0</v>
          </cell>
          <cell r="K2850">
            <v>0</v>
          </cell>
          <cell r="L2850">
            <v>0</v>
          </cell>
        </row>
        <row r="2851">
          <cell r="D2851" t="str">
            <v xml:space="preserve">  P.377.            </v>
          </cell>
          <cell r="E2851" t="str">
            <v>CP1391</v>
          </cell>
          <cell r="F2851" t="str">
            <v>16.11.19.</v>
          </cell>
          <cell r="G2851" t="str">
            <v xml:space="preserve">Portão eletrônico com comando a distância  </v>
          </cell>
          <cell r="H2851" t="str">
            <v xml:space="preserve">pc    </v>
          </cell>
          <cell r="I2851">
            <v>2</v>
          </cell>
          <cell r="J2851">
            <v>4074.33</v>
          </cell>
          <cell r="K2851">
            <v>3406</v>
          </cell>
          <cell r="L2851">
            <v>8148.66</v>
          </cell>
        </row>
        <row r="2852">
          <cell r="D2852" t="str">
            <v xml:space="preserve">  P.378.            </v>
          </cell>
          <cell r="E2852" t="str">
            <v xml:space="preserve">      </v>
          </cell>
          <cell r="F2852" t="str">
            <v>16.12.</v>
          </cell>
          <cell r="G2852" t="str">
            <v xml:space="preserve">Casa de Química  </v>
          </cell>
          <cell r="H2852" t="str">
            <v xml:space="preserve">      </v>
          </cell>
          <cell r="I2852">
            <v>0</v>
          </cell>
          <cell r="J2852">
            <v>0</v>
          </cell>
          <cell r="K2852">
            <v>0</v>
          </cell>
          <cell r="L2852">
            <v>0</v>
          </cell>
        </row>
        <row r="2853">
          <cell r="D2853" t="str">
            <v xml:space="preserve">  P.379.            </v>
          </cell>
          <cell r="E2853" t="str">
            <v xml:space="preserve">      </v>
          </cell>
          <cell r="F2853" t="str">
            <v>16.12.1.</v>
          </cell>
          <cell r="G2853" t="str">
            <v xml:space="preserve">Fornecimento e instalação  </v>
          </cell>
          <cell r="H2853" t="str">
            <v xml:space="preserve">      </v>
          </cell>
          <cell r="I2853">
            <v>0</v>
          </cell>
          <cell r="J2853">
            <v>0</v>
          </cell>
          <cell r="K2853">
            <v>0</v>
          </cell>
          <cell r="L2853">
            <v>0</v>
          </cell>
        </row>
        <row r="2854">
          <cell r="D2854" t="str">
            <v xml:space="preserve">  P.380.            </v>
          </cell>
          <cell r="E2854" t="str">
            <v xml:space="preserve">      </v>
          </cell>
          <cell r="F2854" t="str">
            <v>16.12.2.</v>
          </cell>
          <cell r="G2854" t="str">
            <v xml:space="preserve">Eletrodutos e acessórios  </v>
          </cell>
          <cell r="H2854" t="str">
            <v xml:space="preserve">      </v>
          </cell>
          <cell r="I2854">
            <v>0</v>
          </cell>
          <cell r="J2854">
            <v>0</v>
          </cell>
          <cell r="K2854">
            <v>0</v>
          </cell>
          <cell r="L2854">
            <v>0</v>
          </cell>
        </row>
        <row r="2855">
          <cell r="D2855" t="str">
            <v xml:space="preserve">  P.381.            </v>
          </cell>
          <cell r="E2855" t="str">
            <v xml:space="preserve">      </v>
          </cell>
          <cell r="F2855" t="str">
            <v>16.12.3.</v>
          </cell>
          <cell r="G2855" t="str">
            <v xml:space="preserve">Eletroduto PVC rígido rosca bsp ABNT 744 classe b NBR 6150 antichama com uma luva  </v>
          </cell>
          <cell r="H2855" t="str">
            <v xml:space="preserve">      </v>
          </cell>
          <cell r="I2855">
            <v>0</v>
          </cell>
          <cell r="J2855">
            <v>0</v>
          </cell>
          <cell r="K2855">
            <v>0</v>
          </cell>
          <cell r="L2855">
            <v>0</v>
          </cell>
        </row>
        <row r="2856">
          <cell r="D2856" t="str">
            <v xml:space="preserve">  P.382.            </v>
          </cell>
          <cell r="E2856" t="str">
            <v>CP1703</v>
          </cell>
          <cell r="F2856" t="str">
            <v>16.12.4.</v>
          </cell>
          <cell r="G2856" t="str">
            <v xml:space="preserve">Eletroduto PVC rígido rosca bsp ABNT 744 classe b NBR 6150 antichama com uma luva Dn (2) 50 mm  </v>
          </cell>
          <cell r="H2856" t="str">
            <v xml:space="preserve">pc    </v>
          </cell>
          <cell r="I2856">
            <v>35</v>
          </cell>
          <cell r="J2856">
            <v>40.590000000000003</v>
          </cell>
          <cell r="K2856">
            <v>57.98</v>
          </cell>
          <cell r="L2856">
            <v>1420.65</v>
          </cell>
        </row>
        <row r="2857">
          <cell r="D2857" t="str">
            <v xml:space="preserve">  P.383.            </v>
          </cell>
          <cell r="E2857" t="str">
            <v>CP1689</v>
          </cell>
          <cell r="F2857" t="str">
            <v>16.12.5.</v>
          </cell>
          <cell r="G2857" t="str">
            <v xml:space="preserve">Eletroduto PVC rígido rosca bsp ABNT 744 classe b NBR 6150 antichama com uma luva Dn (3) 75 m  </v>
          </cell>
          <cell r="H2857" t="str">
            <v xml:space="preserve">pc    </v>
          </cell>
          <cell r="I2857">
            <v>28</v>
          </cell>
          <cell r="J2857">
            <v>91.68</v>
          </cell>
          <cell r="K2857">
            <v>130.97</v>
          </cell>
          <cell r="L2857">
            <v>2567.04</v>
          </cell>
        </row>
        <row r="2858">
          <cell r="D2858" t="str">
            <v xml:space="preserve">  P.384.            </v>
          </cell>
          <cell r="E2858" t="str">
            <v xml:space="preserve">      </v>
          </cell>
          <cell r="F2858" t="str">
            <v>16.12.6.</v>
          </cell>
          <cell r="G2858" t="str">
            <v xml:space="preserve">Eletroduto aço carbono com costura ABNT NBR 5624 pesado classe i, zincado, com uma luva, parede de espessura 3,75 mm, comp. de 3000 mm  </v>
          </cell>
          <cell r="H2858" t="str">
            <v xml:space="preserve">      </v>
          </cell>
          <cell r="I2858">
            <v>0</v>
          </cell>
          <cell r="J2858">
            <v>0</v>
          </cell>
          <cell r="K2858">
            <v>0</v>
          </cell>
          <cell r="L2858">
            <v>0</v>
          </cell>
        </row>
        <row r="2859">
          <cell r="D2859" t="str">
            <v xml:space="preserve">  P.385.            </v>
          </cell>
          <cell r="E2859" t="str">
            <v>CP1970</v>
          </cell>
          <cell r="F2859" t="str">
            <v>16.12.7.</v>
          </cell>
          <cell r="G2859" t="str">
            <v xml:space="preserve">Eletroduto aço carbono com costura ABNT NBR 5624 pesado classe i, zincado, com uma luva, parede de espessura 3,75 mm, comp. de 3000 mm Dn (3/4) 20 mm  </v>
          </cell>
          <cell r="H2859" t="str">
            <v xml:space="preserve">m     </v>
          </cell>
          <cell r="I2859">
            <v>38</v>
          </cell>
          <cell r="J2859">
            <v>11.9</v>
          </cell>
          <cell r="K2859">
            <v>9.9600000000000009</v>
          </cell>
          <cell r="L2859">
            <v>452.2</v>
          </cell>
        </row>
        <row r="2860">
          <cell r="D2860" t="str">
            <v xml:space="preserve">  P.386.            </v>
          </cell>
          <cell r="E2860" t="str">
            <v>CP1940</v>
          </cell>
          <cell r="F2860" t="str">
            <v>16.12.8.</v>
          </cell>
          <cell r="G2860" t="str">
            <v xml:space="preserve">Eletroduto aço carbono com costura ABNT NBR 5624 pesado classe i, zincado, com uma luva, parede de espessura 3,75 mm, comp. de 3000 mm Dn (1) 25 mm  </v>
          </cell>
          <cell r="H2860" t="str">
            <v xml:space="preserve">m     </v>
          </cell>
          <cell r="I2860">
            <v>55</v>
          </cell>
          <cell r="J2860">
            <v>15.57</v>
          </cell>
          <cell r="K2860">
            <v>13.06</v>
          </cell>
          <cell r="L2860">
            <v>856.35</v>
          </cell>
        </row>
        <row r="2861">
          <cell r="D2861" t="str">
            <v xml:space="preserve">  P.387.            </v>
          </cell>
          <cell r="E2861" t="str">
            <v>CP1818</v>
          </cell>
          <cell r="F2861" t="str">
            <v>16.12.9.</v>
          </cell>
          <cell r="G2861" t="str">
            <v xml:space="preserve">Eletroduto aço carbono com costura ABNT NBR 5624 pesado classe i, zincado, com uma luva, parede de espessura 3,75 mm, comp. de 3000 mm Dn (2) 50 mm  </v>
          </cell>
          <cell r="H2861" t="str">
            <v xml:space="preserve">m     </v>
          </cell>
          <cell r="I2861">
            <v>18</v>
          </cell>
          <cell r="J2861">
            <v>34.049999999999997</v>
          </cell>
          <cell r="K2861">
            <v>28.54</v>
          </cell>
          <cell r="L2861">
            <v>612.9</v>
          </cell>
        </row>
        <row r="2862">
          <cell r="D2862" t="str">
            <v xml:space="preserve">  P.388.            </v>
          </cell>
          <cell r="E2862" t="str">
            <v xml:space="preserve">      </v>
          </cell>
          <cell r="F2862" t="str">
            <v>16.12.10.</v>
          </cell>
          <cell r="G2862" t="str">
            <v xml:space="preserve">Bucha e arruela ferro galvanizado  </v>
          </cell>
          <cell r="H2862" t="str">
            <v xml:space="preserve">      </v>
          </cell>
          <cell r="I2862">
            <v>0</v>
          </cell>
          <cell r="J2862">
            <v>0</v>
          </cell>
          <cell r="K2862">
            <v>0</v>
          </cell>
          <cell r="L2862">
            <v>0</v>
          </cell>
        </row>
        <row r="2863">
          <cell r="D2863" t="str">
            <v xml:space="preserve">  P.389.            </v>
          </cell>
          <cell r="E2863" t="str">
            <v>CP2311</v>
          </cell>
          <cell r="F2863" t="str">
            <v>16.12.11.</v>
          </cell>
          <cell r="G2863" t="str">
            <v xml:space="preserve">Bucha e arruela ferro galvanizado Dn (3/4) 20 mm  </v>
          </cell>
          <cell r="H2863" t="str">
            <v xml:space="preserve">pc    </v>
          </cell>
          <cell r="I2863">
            <v>90</v>
          </cell>
          <cell r="J2863">
            <v>1.03</v>
          </cell>
          <cell r="K2863">
            <v>1.32</v>
          </cell>
          <cell r="L2863">
            <v>92.7</v>
          </cell>
        </row>
        <row r="2864">
          <cell r="D2864" t="str">
            <v xml:space="preserve">  P.390.            </v>
          </cell>
          <cell r="E2864" t="str">
            <v>CP2293</v>
          </cell>
          <cell r="F2864" t="str">
            <v>16.12.12.</v>
          </cell>
          <cell r="G2864" t="str">
            <v xml:space="preserve">Bucha e arruela ferro galvanizado Dn (1) 25 mm  </v>
          </cell>
          <cell r="H2864" t="str">
            <v xml:space="preserve">pc    </v>
          </cell>
          <cell r="I2864">
            <v>54</v>
          </cell>
          <cell r="J2864">
            <v>1.35</v>
          </cell>
          <cell r="K2864">
            <v>1.64</v>
          </cell>
          <cell r="L2864">
            <v>72.900000000000006</v>
          </cell>
        </row>
        <row r="2865">
          <cell r="D2865" t="str">
            <v xml:space="preserve">  P.391.            </v>
          </cell>
          <cell r="E2865" t="str">
            <v xml:space="preserve">      </v>
          </cell>
          <cell r="F2865" t="str">
            <v>16.12.13.</v>
          </cell>
          <cell r="G2865" t="str">
            <v xml:space="preserve">Braçadeira tipo d  </v>
          </cell>
          <cell r="H2865" t="str">
            <v xml:space="preserve">      </v>
          </cell>
          <cell r="I2865">
            <v>0</v>
          </cell>
          <cell r="J2865">
            <v>0</v>
          </cell>
          <cell r="K2865">
            <v>0</v>
          </cell>
          <cell r="L2865">
            <v>0</v>
          </cell>
        </row>
        <row r="2866">
          <cell r="D2866" t="str">
            <v xml:space="preserve">  P.392.            </v>
          </cell>
          <cell r="E2866" t="str">
            <v>CP2297</v>
          </cell>
          <cell r="F2866" t="str">
            <v>16.12.14.</v>
          </cell>
          <cell r="G2866" t="str">
            <v xml:space="preserve">Braçadeira tipo d Dn (3/4) 20 mm  </v>
          </cell>
          <cell r="H2866" t="str">
            <v xml:space="preserve">pc    </v>
          </cell>
          <cell r="I2866">
            <v>14</v>
          </cell>
          <cell r="J2866">
            <v>5.17</v>
          </cell>
          <cell r="K2866">
            <v>7.38</v>
          </cell>
          <cell r="L2866">
            <v>72.38</v>
          </cell>
        </row>
        <row r="2867">
          <cell r="D2867" t="str">
            <v xml:space="preserve">  P.393.            </v>
          </cell>
          <cell r="E2867" t="str">
            <v>CP2270</v>
          </cell>
          <cell r="F2867" t="str">
            <v>16.12.15.</v>
          </cell>
          <cell r="G2867" t="str">
            <v xml:space="preserve">Braçadeira tipo d Dn (1) 25 mm  </v>
          </cell>
          <cell r="H2867" t="str">
            <v xml:space="preserve">pc    </v>
          </cell>
          <cell r="I2867">
            <v>28</v>
          </cell>
          <cell r="J2867">
            <v>7.14</v>
          </cell>
          <cell r="K2867">
            <v>7.13</v>
          </cell>
          <cell r="L2867">
            <v>199.92</v>
          </cell>
        </row>
        <row r="2868">
          <cell r="D2868" t="str">
            <v xml:space="preserve">  P.394.            </v>
          </cell>
          <cell r="E2868" t="str">
            <v xml:space="preserve">      </v>
          </cell>
          <cell r="F2868" t="str">
            <v>16.12.16.</v>
          </cell>
          <cell r="G2868" t="str">
            <v xml:space="preserve">Cabos e acessórios  </v>
          </cell>
          <cell r="H2868" t="str">
            <v xml:space="preserve">      </v>
          </cell>
          <cell r="I2868">
            <v>0</v>
          </cell>
          <cell r="J2868">
            <v>0</v>
          </cell>
          <cell r="K2868">
            <v>0</v>
          </cell>
          <cell r="L2868">
            <v>0</v>
          </cell>
        </row>
        <row r="2869">
          <cell r="D2869" t="str">
            <v xml:space="preserve">  P.395.            </v>
          </cell>
          <cell r="E2869" t="str">
            <v xml:space="preserve">      </v>
          </cell>
          <cell r="F2869" t="str">
            <v>16.12.17.</v>
          </cell>
          <cell r="G2869" t="str">
            <v xml:space="preserve">Cabo cobre, tempera mole, PVC, 70oc, 0,45/0.7kV NBR-6880, NBR-6148  </v>
          </cell>
          <cell r="H2869" t="str">
            <v xml:space="preserve">      </v>
          </cell>
          <cell r="I2869">
            <v>0</v>
          </cell>
          <cell r="J2869">
            <v>0</v>
          </cell>
          <cell r="K2869">
            <v>0</v>
          </cell>
          <cell r="L2869">
            <v>0</v>
          </cell>
        </row>
        <row r="2870">
          <cell r="D2870" t="str">
            <v xml:space="preserve">  P.396.            </v>
          </cell>
          <cell r="E2870" t="str">
            <v>CP2299</v>
          </cell>
          <cell r="F2870" t="str">
            <v>16.12.18.</v>
          </cell>
          <cell r="G2870" t="str">
            <v xml:space="preserve">Cabo cobre, tempera mole, PVC, 70oc, 0,45/0.7kV NBR-6880, NBR-6148 #2,5mm  </v>
          </cell>
          <cell r="H2870" t="str">
            <v xml:space="preserve">m     </v>
          </cell>
          <cell r="I2870">
            <v>1580</v>
          </cell>
          <cell r="J2870">
            <v>2.79</v>
          </cell>
          <cell r="K2870">
            <v>2.37</v>
          </cell>
          <cell r="L2870">
            <v>4408.2</v>
          </cell>
        </row>
        <row r="2871">
          <cell r="D2871" t="str">
            <v xml:space="preserve">  P.397.            </v>
          </cell>
          <cell r="E2871" t="str">
            <v>CP2271</v>
          </cell>
          <cell r="F2871" t="str">
            <v>16.12.19.</v>
          </cell>
          <cell r="G2871" t="str">
            <v xml:space="preserve">Cabo cobre, tempera mole, PVC, 70oc, 0,45/0.7kV NBR-6880, NBR-6148 #6,0mm  </v>
          </cell>
          <cell r="H2871" t="str">
            <v xml:space="preserve">m     </v>
          </cell>
          <cell r="I2871">
            <v>320</v>
          </cell>
          <cell r="J2871">
            <v>3.17</v>
          </cell>
          <cell r="K2871">
            <v>5.44</v>
          </cell>
          <cell r="L2871">
            <v>1014.4</v>
          </cell>
        </row>
        <row r="2872">
          <cell r="D2872" t="str">
            <v xml:space="preserve">  P.398.            </v>
          </cell>
          <cell r="E2872" t="str">
            <v xml:space="preserve">      </v>
          </cell>
          <cell r="F2872" t="str">
            <v>16.12.20.</v>
          </cell>
          <cell r="G2872" t="str">
            <v xml:space="preserve">Cabo cobre, tempera mole, EPR, 90oc, 0,6/1kV Pirelli Afumex ou equivalente  </v>
          </cell>
          <cell r="H2872" t="str">
            <v xml:space="preserve">      </v>
          </cell>
          <cell r="I2872">
            <v>0</v>
          </cell>
          <cell r="J2872">
            <v>0</v>
          </cell>
          <cell r="K2872">
            <v>0</v>
          </cell>
          <cell r="L2872">
            <v>0</v>
          </cell>
        </row>
        <row r="2873">
          <cell r="D2873" t="str">
            <v xml:space="preserve">  P.399.            </v>
          </cell>
          <cell r="E2873" t="str">
            <v>CP5011</v>
          </cell>
          <cell r="F2873" t="str">
            <v>16.12.21.</v>
          </cell>
          <cell r="G2873" t="str">
            <v xml:space="preserve">Cabo cobre, tempera mole, EPR, 90oc, 0,6/1kV Pirelli Afumex ou equivalente 1x6 (1,5mm)  </v>
          </cell>
          <cell r="H2873" t="str">
            <v xml:space="preserve">m     </v>
          </cell>
          <cell r="I2873">
            <v>235</v>
          </cell>
          <cell r="J2873">
            <v>8.42</v>
          </cell>
          <cell r="K2873">
            <v>7.06</v>
          </cell>
          <cell r="L2873">
            <v>1978.7</v>
          </cell>
        </row>
        <row r="2874">
          <cell r="D2874" t="str">
            <v xml:space="preserve">  P.400.            </v>
          </cell>
          <cell r="E2874" t="str">
            <v>CP5013</v>
          </cell>
          <cell r="F2874" t="str">
            <v>16.12.22.</v>
          </cell>
          <cell r="G2874" t="str">
            <v xml:space="preserve">Cabo cobre, tempera mole, EPR, 90oc, 0,6/1kV Pirelli Afumex ou equivalente Coaxial  </v>
          </cell>
          <cell r="H2874" t="str">
            <v xml:space="preserve">m     </v>
          </cell>
          <cell r="I2874">
            <v>100</v>
          </cell>
          <cell r="J2874">
            <v>4.28</v>
          </cell>
          <cell r="K2874">
            <v>3.59</v>
          </cell>
          <cell r="L2874">
            <v>428</v>
          </cell>
        </row>
        <row r="2875">
          <cell r="D2875" t="str">
            <v xml:space="preserve">  P.401.            </v>
          </cell>
          <cell r="E2875" t="str">
            <v>CP5026</v>
          </cell>
          <cell r="F2875" t="str">
            <v>16.12.23.</v>
          </cell>
          <cell r="G2875" t="str">
            <v xml:space="preserve">Cabo cobre, tempera mole, EPR, 90oc, 0,6/1kV Pirelli Afumex ou equivalente 1x3(1,5mm) Blindado  </v>
          </cell>
          <cell r="H2875" t="str">
            <v xml:space="preserve">m     </v>
          </cell>
          <cell r="I2875">
            <v>220</v>
          </cell>
          <cell r="J2875">
            <v>10.62</v>
          </cell>
          <cell r="K2875">
            <v>8.91</v>
          </cell>
          <cell r="L2875">
            <v>2336.4</v>
          </cell>
        </row>
        <row r="2876">
          <cell r="D2876" t="str">
            <v xml:space="preserve">  P.402.            </v>
          </cell>
          <cell r="E2876" t="str">
            <v>CP5024</v>
          </cell>
          <cell r="F2876" t="str">
            <v>16.12.24.</v>
          </cell>
          <cell r="G2876" t="str">
            <v xml:space="preserve">Cabo cobre, tempera mole, EPR, 90oc, 0,6/1kV Pirelli Afumex ou equivalente 1x2(1,5mm) Blindado  </v>
          </cell>
          <cell r="H2876" t="str">
            <v xml:space="preserve">m     </v>
          </cell>
          <cell r="I2876">
            <v>236</v>
          </cell>
          <cell r="J2876">
            <v>9.65</v>
          </cell>
          <cell r="K2876">
            <v>8.0399999999999991</v>
          </cell>
          <cell r="L2876">
            <v>2277.4</v>
          </cell>
        </row>
        <row r="2877">
          <cell r="D2877" t="str">
            <v xml:space="preserve">  P.403.            </v>
          </cell>
          <cell r="E2877" t="str">
            <v>CP5027</v>
          </cell>
          <cell r="F2877" t="str">
            <v>16.12.25.</v>
          </cell>
          <cell r="G2877" t="str">
            <v xml:space="preserve">Cabo cobre, tempera mole, EPR, 90oc, 0,6/1kV Pirelli Afumex ou equivalente 1x3(2,5mm)  </v>
          </cell>
          <cell r="H2877" t="str">
            <v xml:space="preserve">m     </v>
          </cell>
          <cell r="I2877">
            <v>110</v>
          </cell>
          <cell r="J2877">
            <v>6.12</v>
          </cell>
          <cell r="K2877">
            <v>5.82</v>
          </cell>
          <cell r="L2877">
            <v>673.2</v>
          </cell>
        </row>
        <row r="2878">
          <cell r="D2878" t="str">
            <v xml:space="preserve">  P.404.            </v>
          </cell>
          <cell r="E2878" t="str">
            <v>CP5034</v>
          </cell>
          <cell r="F2878" t="str">
            <v>16.12.26.</v>
          </cell>
          <cell r="G2878" t="str">
            <v xml:space="preserve">Cabo cobre, tempera mole, EPR, 90oc, 0,6/1kV Pirelli Afumex ou equivalente 1x4(4,0mm)  </v>
          </cell>
          <cell r="H2878" t="str">
            <v xml:space="preserve">m     </v>
          </cell>
          <cell r="I2878">
            <v>155</v>
          </cell>
          <cell r="J2878">
            <v>10.82</v>
          </cell>
          <cell r="K2878">
            <v>9.0299999999999994</v>
          </cell>
          <cell r="L2878">
            <v>1677.1</v>
          </cell>
        </row>
        <row r="2879">
          <cell r="D2879" t="str">
            <v xml:space="preserve">  P.405.            </v>
          </cell>
          <cell r="E2879" t="str">
            <v>CP5030</v>
          </cell>
          <cell r="F2879" t="str">
            <v>16.12.27.</v>
          </cell>
          <cell r="G2879" t="str">
            <v xml:space="preserve">Cabo cobre, tempera mole, EPR, 90oc, 0,6/1kV Pirelli Afumex ou equivalente 1x4(10mm)  </v>
          </cell>
          <cell r="H2879" t="str">
            <v xml:space="preserve">m     </v>
          </cell>
          <cell r="I2879">
            <v>65</v>
          </cell>
          <cell r="J2879">
            <v>28.32</v>
          </cell>
          <cell r="K2879">
            <v>23.78</v>
          </cell>
          <cell r="L2879">
            <v>1840.8</v>
          </cell>
        </row>
        <row r="2880">
          <cell r="D2880" t="str">
            <v xml:space="preserve">  P.406.            </v>
          </cell>
          <cell r="E2880" t="str">
            <v>CP5017</v>
          </cell>
          <cell r="F2880" t="str">
            <v>16.12.28.</v>
          </cell>
          <cell r="G2880" t="str">
            <v xml:space="preserve">Cabo cobre, tempera mole, EPR, 90oc, 0,6/1kV Pirelli Afumex ou equivalente #25mm  </v>
          </cell>
          <cell r="H2880" t="str">
            <v xml:space="preserve">m     </v>
          </cell>
          <cell r="I2880">
            <v>100</v>
          </cell>
          <cell r="J2880">
            <v>14.92</v>
          </cell>
          <cell r="K2880">
            <v>12.54</v>
          </cell>
          <cell r="L2880">
            <v>1492</v>
          </cell>
        </row>
        <row r="2881">
          <cell r="D2881" t="str">
            <v xml:space="preserve">  P.407.            </v>
          </cell>
          <cell r="E2881" t="str">
            <v>CP5037</v>
          </cell>
          <cell r="F2881" t="str">
            <v>16.12.29.</v>
          </cell>
          <cell r="G2881" t="str">
            <v xml:space="preserve">Cabo cobre, tempera mole, EPR, 90oc, 0,6/1kV Pirelli Afumex ou equivalente #50mm  </v>
          </cell>
          <cell r="H2881" t="str">
            <v xml:space="preserve">m     </v>
          </cell>
          <cell r="I2881">
            <v>250</v>
          </cell>
          <cell r="J2881">
            <v>25.56</v>
          </cell>
          <cell r="K2881">
            <v>24.98</v>
          </cell>
          <cell r="L2881">
            <v>6390</v>
          </cell>
        </row>
        <row r="2882">
          <cell r="D2882" t="str">
            <v xml:space="preserve">  P.408.            </v>
          </cell>
          <cell r="E2882" t="str">
            <v>CP5022</v>
          </cell>
          <cell r="F2882" t="str">
            <v>16.12.30.</v>
          </cell>
          <cell r="G2882" t="str">
            <v xml:space="preserve">Cabo cobre, tempera mole, EPR, 90oc, 0,6/1kV Pirelli Afumex ou equivalente #70mm  </v>
          </cell>
          <cell r="H2882" t="str">
            <v xml:space="preserve">m     </v>
          </cell>
          <cell r="I2882">
            <v>480</v>
          </cell>
          <cell r="J2882">
            <v>34.68</v>
          </cell>
          <cell r="K2882">
            <v>35.07</v>
          </cell>
          <cell r="L2882">
            <v>16646.400000000001</v>
          </cell>
        </row>
        <row r="2883">
          <cell r="D2883" t="str">
            <v xml:space="preserve">  P.409.            </v>
          </cell>
          <cell r="E2883" t="str">
            <v xml:space="preserve">      </v>
          </cell>
          <cell r="F2883" t="str">
            <v>16.12.31.</v>
          </cell>
          <cell r="G2883" t="str">
            <v xml:space="preserve">Perfil  </v>
          </cell>
          <cell r="H2883" t="str">
            <v xml:space="preserve">      </v>
          </cell>
          <cell r="I2883">
            <v>0</v>
          </cell>
          <cell r="J2883">
            <v>0</v>
          </cell>
          <cell r="K2883">
            <v>0</v>
          </cell>
          <cell r="L2883">
            <v>0</v>
          </cell>
        </row>
        <row r="2884">
          <cell r="D2884" t="str">
            <v xml:space="preserve">  P.410.            </v>
          </cell>
          <cell r="E2884" t="str">
            <v>CP1778</v>
          </cell>
          <cell r="F2884" t="str">
            <v>16.12.32.</v>
          </cell>
          <cell r="G2884" t="str">
            <v xml:space="preserve">Perfil perfurada, tipo u, 38x38mm, chapa #16msg, galvanizado eletroliticamente, peça de 6000 mm  </v>
          </cell>
          <cell r="H2884" t="str">
            <v xml:space="preserve">pc    </v>
          </cell>
          <cell r="I2884">
            <v>18</v>
          </cell>
          <cell r="J2884">
            <v>115.53</v>
          </cell>
          <cell r="K2884">
            <v>143.54</v>
          </cell>
          <cell r="L2884">
            <v>2079.54</v>
          </cell>
        </row>
        <row r="2885">
          <cell r="D2885" t="str">
            <v xml:space="preserve">  P.411.            </v>
          </cell>
          <cell r="E2885" t="str">
            <v>CP2085</v>
          </cell>
          <cell r="F2885" t="str">
            <v>16.12.33.</v>
          </cell>
          <cell r="G2885" t="str">
            <v xml:space="preserve">Perfil Conexão tipo cotovelo 90o  </v>
          </cell>
          <cell r="H2885" t="str">
            <v xml:space="preserve">pc    </v>
          </cell>
          <cell r="I2885">
            <v>7</v>
          </cell>
          <cell r="J2885">
            <v>6.8</v>
          </cell>
          <cell r="K2885">
            <v>9.7200000000000006</v>
          </cell>
          <cell r="L2885">
            <v>47.6</v>
          </cell>
        </row>
        <row r="2886">
          <cell r="D2886" t="str">
            <v xml:space="preserve">  P.412.            </v>
          </cell>
          <cell r="E2886" t="str">
            <v>CP3013</v>
          </cell>
          <cell r="F2886" t="str">
            <v>16.12.34.</v>
          </cell>
          <cell r="G2886" t="str">
            <v xml:space="preserve">Perfil Conexão tipo tê 90o  </v>
          </cell>
          <cell r="H2886" t="str">
            <v xml:space="preserve">pc    </v>
          </cell>
          <cell r="I2886">
            <v>7</v>
          </cell>
          <cell r="J2886">
            <v>14.46</v>
          </cell>
          <cell r="K2886">
            <v>13.17</v>
          </cell>
          <cell r="L2886">
            <v>101.22</v>
          </cell>
        </row>
        <row r="2887">
          <cell r="D2887" t="str">
            <v xml:space="preserve">  P.413.            </v>
          </cell>
          <cell r="E2887" t="str">
            <v>CP1960</v>
          </cell>
          <cell r="F2887" t="str">
            <v>16.12.35.</v>
          </cell>
          <cell r="G2887" t="str">
            <v xml:space="preserve">Perfil Conexão tipo X 90o  </v>
          </cell>
          <cell r="H2887" t="str">
            <v xml:space="preserve">pc    </v>
          </cell>
          <cell r="I2887">
            <v>1</v>
          </cell>
          <cell r="J2887">
            <v>15.25</v>
          </cell>
          <cell r="K2887">
            <v>14.37</v>
          </cell>
          <cell r="L2887">
            <v>15.25</v>
          </cell>
        </row>
        <row r="2888">
          <cell r="D2888" t="str">
            <v xml:space="preserve">  P.414.            </v>
          </cell>
          <cell r="E2888" t="str">
            <v>CP2153</v>
          </cell>
          <cell r="F2888" t="str">
            <v>16.12.36.</v>
          </cell>
          <cell r="G2888" t="str">
            <v xml:space="preserve">Perfil Junção simples  </v>
          </cell>
          <cell r="H2888" t="str">
            <v xml:space="preserve">pc    </v>
          </cell>
          <cell r="I2888">
            <v>33</v>
          </cell>
          <cell r="J2888">
            <v>8.66</v>
          </cell>
          <cell r="K2888">
            <v>7.26</v>
          </cell>
          <cell r="L2888">
            <v>285.77999999999997</v>
          </cell>
        </row>
        <row r="2889">
          <cell r="D2889" t="str">
            <v xml:space="preserve">  P.415.            </v>
          </cell>
          <cell r="E2889" t="str">
            <v>CP2201</v>
          </cell>
          <cell r="F2889" t="str">
            <v>16.12.37.</v>
          </cell>
          <cell r="G2889" t="str">
            <v xml:space="preserve">Perfil Chumbador 1/4  </v>
          </cell>
          <cell r="H2889" t="str">
            <v xml:space="preserve">pc    </v>
          </cell>
          <cell r="I2889">
            <v>54</v>
          </cell>
          <cell r="J2889">
            <v>4.6399999999999997</v>
          </cell>
          <cell r="K2889">
            <v>5.5</v>
          </cell>
          <cell r="L2889">
            <v>250.56</v>
          </cell>
        </row>
        <row r="2890">
          <cell r="D2890" t="str">
            <v xml:space="preserve">  P.416.            </v>
          </cell>
          <cell r="E2890" t="str">
            <v>CP2110</v>
          </cell>
          <cell r="F2890" t="str">
            <v>16.12.38.</v>
          </cell>
          <cell r="G2890" t="str">
            <v xml:space="preserve">Perfil Tirante de aço - rosca NC total 1/4  </v>
          </cell>
          <cell r="H2890" t="str">
            <v xml:space="preserve">pc    </v>
          </cell>
          <cell r="I2890">
            <v>25</v>
          </cell>
          <cell r="J2890">
            <v>17.93</v>
          </cell>
          <cell r="K2890">
            <v>19.96</v>
          </cell>
          <cell r="L2890">
            <v>448.25</v>
          </cell>
        </row>
        <row r="2891">
          <cell r="D2891" t="str">
            <v xml:space="preserve">  P.417.            </v>
          </cell>
          <cell r="E2891" t="str">
            <v>CP2330</v>
          </cell>
          <cell r="F2891" t="str">
            <v>16.12.39.</v>
          </cell>
          <cell r="G2891" t="str">
            <v xml:space="preserve">Perfil Porca sextavada 1/4  </v>
          </cell>
          <cell r="H2891" t="str">
            <v xml:space="preserve">pc    </v>
          </cell>
          <cell r="I2891">
            <v>162</v>
          </cell>
          <cell r="J2891">
            <v>0.92</v>
          </cell>
          <cell r="K2891">
            <v>1.22</v>
          </cell>
          <cell r="L2891">
            <v>149.04</v>
          </cell>
        </row>
        <row r="2892">
          <cell r="D2892" t="str">
            <v xml:space="preserve">  P.418.            </v>
          </cell>
          <cell r="E2892" t="str">
            <v>CP2125</v>
          </cell>
          <cell r="F2892" t="str">
            <v>16.12.40.</v>
          </cell>
          <cell r="G2892" t="str">
            <v xml:space="preserve">Perfil Suspenção para perfil 38x38 mm  </v>
          </cell>
          <cell r="H2892" t="str">
            <v xml:space="preserve">pc    </v>
          </cell>
          <cell r="I2892">
            <v>54</v>
          </cell>
          <cell r="J2892">
            <v>8.7799999999999994</v>
          </cell>
          <cell r="K2892">
            <v>7.35</v>
          </cell>
          <cell r="L2892">
            <v>474.12</v>
          </cell>
        </row>
        <row r="2893">
          <cell r="D2893" t="str">
            <v xml:space="preserve">  P.419.            </v>
          </cell>
          <cell r="E2893" t="str">
            <v>CP1836</v>
          </cell>
          <cell r="F2893" t="str">
            <v>16.12.41.</v>
          </cell>
          <cell r="G2893" t="str">
            <v xml:space="preserve">Perfil Caixa com 1 tomada 2P (pino redondo) para inst. perfil 38x38 mm  </v>
          </cell>
          <cell r="H2893" t="str">
            <v xml:space="preserve">pc    </v>
          </cell>
          <cell r="I2893">
            <v>22</v>
          </cell>
          <cell r="J2893">
            <v>15.33</v>
          </cell>
          <cell r="K2893">
            <v>12.81</v>
          </cell>
          <cell r="L2893">
            <v>337.26</v>
          </cell>
        </row>
        <row r="2894">
          <cell r="D2894" t="str">
            <v xml:space="preserve">  P.420.            </v>
          </cell>
          <cell r="E2894" t="str">
            <v xml:space="preserve">      </v>
          </cell>
          <cell r="F2894" t="str">
            <v>16.12.42.</v>
          </cell>
          <cell r="G2894" t="str">
            <v xml:space="preserve">Conduletes  </v>
          </cell>
          <cell r="H2894" t="str">
            <v xml:space="preserve">      </v>
          </cell>
          <cell r="I2894">
            <v>0</v>
          </cell>
          <cell r="J2894">
            <v>0</v>
          </cell>
          <cell r="K2894">
            <v>0</v>
          </cell>
          <cell r="L2894">
            <v>0</v>
          </cell>
        </row>
        <row r="2895">
          <cell r="D2895" t="str">
            <v xml:space="preserve">  P.421.            </v>
          </cell>
          <cell r="E2895" t="str">
            <v xml:space="preserve">      </v>
          </cell>
          <cell r="F2895" t="str">
            <v>16.12.43.</v>
          </cell>
          <cell r="G2895" t="str">
            <v xml:space="preserve">Condulete em liga de alumínio fundido a prova de tempo, umidade, gases, vapores e pó com Junta de vedação em neoprene rosca bsb (gás) conforme norma ANSI b-2.1  </v>
          </cell>
          <cell r="H2895" t="str">
            <v xml:space="preserve">      </v>
          </cell>
          <cell r="I2895">
            <v>0</v>
          </cell>
          <cell r="J2895">
            <v>0</v>
          </cell>
          <cell r="K2895">
            <v>0</v>
          </cell>
          <cell r="L2895">
            <v>0</v>
          </cell>
        </row>
        <row r="2896">
          <cell r="D2896" t="str">
            <v xml:space="preserve">  P.422.            </v>
          </cell>
          <cell r="E2896" t="str">
            <v>CP1952</v>
          </cell>
          <cell r="F2896" t="str">
            <v>16.12.44.</v>
          </cell>
          <cell r="G2896" t="str">
            <v xml:space="preserve">Condulete em liga de alumínio fundido a prova de tempo, umidade, gases, vapores e pó com Junta de vedação em neoprene rosca bsb (gás) conforme norma ANSI b-2.1 Ø (3/4) 20 mm  </v>
          </cell>
          <cell r="H2896" t="str">
            <v xml:space="preserve">pc    </v>
          </cell>
          <cell r="I2896">
            <v>22</v>
          </cell>
          <cell r="J2896">
            <v>17.41</v>
          </cell>
          <cell r="K2896">
            <v>14.51</v>
          </cell>
          <cell r="L2896">
            <v>383.02</v>
          </cell>
        </row>
        <row r="2897">
          <cell r="D2897" t="str">
            <v xml:space="preserve">  P.423.            </v>
          </cell>
          <cell r="E2897" t="str">
            <v>CP1888</v>
          </cell>
          <cell r="F2897" t="str">
            <v>16.12.45.</v>
          </cell>
          <cell r="G2897" t="str">
            <v xml:space="preserve">Condulete em liga de alumínio fundido a prova de tempo, umidade, gases, vapores e pó com Junta de vedação em neoprene rosca bsb (gás) conforme norma ANSI b-2.1 Ø (1) 25 mm  </v>
          </cell>
          <cell r="H2897" t="str">
            <v xml:space="preserve">pc    </v>
          </cell>
          <cell r="I2897">
            <v>28</v>
          </cell>
          <cell r="J2897">
            <v>21.78</v>
          </cell>
          <cell r="K2897">
            <v>18.2</v>
          </cell>
          <cell r="L2897">
            <v>609.84</v>
          </cell>
        </row>
        <row r="2898">
          <cell r="D2898" t="str">
            <v xml:space="preserve">  P.424.            </v>
          </cell>
          <cell r="E2898" t="str">
            <v xml:space="preserve">      </v>
          </cell>
          <cell r="F2898" t="str">
            <v>16.12.46.</v>
          </cell>
          <cell r="G2898" t="str">
            <v xml:space="preserve">Interruptor em condulete 20 mm  </v>
          </cell>
          <cell r="H2898" t="str">
            <v xml:space="preserve">      </v>
          </cell>
          <cell r="I2898">
            <v>0</v>
          </cell>
          <cell r="J2898">
            <v>0</v>
          </cell>
          <cell r="K2898">
            <v>0</v>
          </cell>
          <cell r="L2898">
            <v>0</v>
          </cell>
        </row>
        <row r="2899">
          <cell r="D2899" t="str">
            <v xml:space="preserve">  P.425.            </v>
          </cell>
          <cell r="E2899" t="str">
            <v>CP1910</v>
          </cell>
          <cell r="F2899" t="str">
            <v>16.12.47.</v>
          </cell>
          <cell r="G2899" t="str">
            <v xml:space="preserve">Interruptor em condulete 20 mm Tipo simples 01 tecla  </v>
          </cell>
          <cell r="H2899" t="str">
            <v xml:space="preserve">pc    </v>
          </cell>
          <cell r="I2899">
            <v>8</v>
          </cell>
          <cell r="J2899">
            <v>24.08</v>
          </cell>
          <cell r="K2899">
            <v>20.2</v>
          </cell>
          <cell r="L2899">
            <v>192.64</v>
          </cell>
        </row>
        <row r="2900">
          <cell r="D2900" t="str">
            <v xml:space="preserve">  P.426.            </v>
          </cell>
          <cell r="E2900" t="str">
            <v>CP1899</v>
          </cell>
          <cell r="F2900" t="str">
            <v>16.12.48.</v>
          </cell>
          <cell r="G2900" t="str">
            <v xml:space="preserve">Interruptor em condulete 20 mm Tipo simples 02 teclas  </v>
          </cell>
          <cell r="H2900" t="str">
            <v xml:space="preserve">pc    </v>
          </cell>
          <cell r="I2900">
            <v>3</v>
          </cell>
          <cell r="J2900">
            <v>33.74</v>
          </cell>
          <cell r="K2900">
            <v>28.13</v>
          </cell>
          <cell r="L2900">
            <v>101.22</v>
          </cell>
        </row>
        <row r="2901">
          <cell r="D2901" t="str">
            <v xml:space="preserve">  P.427.            </v>
          </cell>
          <cell r="E2901" t="str">
            <v>CP1877</v>
          </cell>
          <cell r="F2901" t="str">
            <v>16.12.49.</v>
          </cell>
          <cell r="G2901" t="str">
            <v xml:space="preserve">Interruptor em condulete 20 mm Tipo three way 02 teclas  </v>
          </cell>
          <cell r="H2901" t="str">
            <v xml:space="preserve">pc    </v>
          </cell>
          <cell r="I2901">
            <v>4</v>
          </cell>
          <cell r="J2901">
            <v>28.47</v>
          </cell>
          <cell r="K2901">
            <v>27.04</v>
          </cell>
          <cell r="L2901">
            <v>113.88</v>
          </cell>
        </row>
        <row r="2902">
          <cell r="D2902" t="str">
            <v xml:space="preserve">  P.428.            </v>
          </cell>
          <cell r="E2902" t="str">
            <v>CP1857</v>
          </cell>
          <cell r="F2902" t="str">
            <v>16.12.50.</v>
          </cell>
          <cell r="G2902" t="str">
            <v xml:space="preserve">Tomadas em condulete 20 mm Tipo 2p+t (pino redondo, tipo universal)  </v>
          </cell>
          <cell r="H2902" t="str">
            <v xml:space="preserve">pc    </v>
          </cell>
          <cell r="I2902">
            <v>8</v>
          </cell>
          <cell r="J2902">
            <v>17.559999999999999</v>
          </cell>
          <cell r="K2902">
            <v>14.75</v>
          </cell>
          <cell r="L2902">
            <v>140.47999999999999</v>
          </cell>
        </row>
        <row r="2903">
          <cell r="D2903" t="str">
            <v xml:space="preserve">  P.429.            </v>
          </cell>
          <cell r="E2903" t="str">
            <v>CP1724</v>
          </cell>
          <cell r="F2903" t="str">
            <v>16.12.51.</v>
          </cell>
          <cell r="G2903" t="str">
            <v xml:space="preserve">Tomada tetrapolar, 50 A, Steck ou similar  </v>
          </cell>
          <cell r="H2903" t="str">
            <v xml:space="preserve">un    </v>
          </cell>
          <cell r="I2903">
            <v>2</v>
          </cell>
          <cell r="J2903">
            <v>62.56</v>
          </cell>
          <cell r="K2903">
            <v>52.2</v>
          </cell>
          <cell r="L2903">
            <v>125.12</v>
          </cell>
        </row>
        <row r="2904">
          <cell r="D2904" t="str">
            <v xml:space="preserve">  P.430.            </v>
          </cell>
          <cell r="E2904" t="str">
            <v xml:space="preserve">      </v>
          </cell>
          <cell r="F2904" t="str">
            <v>16.12.52.</v>
          </cell>
          <cell r="G2904" t="str">
            <v xml:space="preserve">Luminárias  </v>
          </cell>
          <cell r="H2904" t="str">
            <v xml:space="preserve">      </v>
          </cell>
          <cell r="I2904">
            <v>0</v>
          </cell>
          <cell r="J2904">
            <v>0</v>
          </cell>
          <cell r="K2904">
            <v>0</v>
          </cell>
          <cell r="L2904">
            <v>0</v>
          </cell>
        </row>
        <row r="2905">
          <cell r="D2905" t="str">
            <v xml:space="preserve">  P.431.            </v>
          </cell>
          <cell r="E2905" t="str">
            <v>CP1764</v>
          </cell>
          <cell r="F2905" t="str">
            <v>16.12.53.</v>
          </cell>
          <cell r="G2905" t="str">
            <v xml:space="preserve">Luminária para lâmpada incadescente 1x60W, de sobrepor, corpo em chapa de aço tratada e pintura eletrostática branca. Refletor em chapa de alumínio anodizado brilhante, mod. XP 618 Xoulux ou similar.  </v>
          </cell>
          <cell r="H2905" t="str">
            <v xml:space="preserve">pc    </v>
          </cell>
          <cell r="I2905">
            <v>3</v>
          </cell>
          <cell r="J2905">
            <v>119.51</v>
          </cell>
          <cell r="K2905">
            <v>148.5</v>
          </cell>
          <cell r="L2905">
            <v>358.53</v>
          </cell>
        </row>
        <row r="2906">
          <cell r="D2906" t="str">
            <v xml:space="preserve">  P.432.            </v>
          </cell>
          <cell r="E2906" t="str">
            <v>CP1651</v>
          </cell>
          <cell r="F2906" t="str">
            <v>16.12.54.</v>
          </cell>
          <cell r="G2906" t="str">
            <v>Luminária 2X32W, de sobrepor, corpo em chapa de aço tratada e pintura eletrostática branca. Refletor em chapa de alumínio anodizado brilhante, de alta pureza e reator eletrônico, de alto fator de potência, alojado na cabeceira e acompanhado de lâmpadas, a</v>
          </cell>
          <cell r="H2906" t="str">
            <v xml:space="preserve">pc    </v>
          </cell>
          <cell r="I2906">
            <v>19</v>
          </cell>
          <cell r="J2906">
            <v>104.77</v>
          </cell>
          <cell r="K2906">
            <v>87.99</v>
          </cell>
          <cell r="L2906">
            <v>1990.63</v>
          </cell>
        </row>
        <row r="2907">
          <cell r="D2907" t="str">
            <v xml:space="preserve">  P.433.            </v>
          </cell>
          <cell r="E2907" t="str">
            <v>CP1592</v>
          </cell>
          <cell r="F2907" t="str">
            <v>16.12.55.</v>
          </cell>
          <cell r="G2907" t="str">
            <v>Projetor retangular fabricado em chapa de alumínio dobrada, refletor em alumínio escamado e polido quimicamente, lente plana de cristal temperado, soquete de porcelana reforçado, filtro, para utilização com 01 lâmpada a vapor de sódio 150W, com reator abr</v>
          </cell>
          <cell r="H2907" t="str">
            <v xml:space="preserve">pç    </v>
          </cell>
          <cell r="I2907">
            <v>11</v>
          </cell>
          <cell r="J2907">
            <v>936.09</v>
          </cell>
          <cell r="K2907">
            <v>1163.1500000000001</v>
          </cell>
          <cell r="L2907">
            <v>10296.99</v>
          </cell>
        </row>
        <row r="2908">
          <cell r="D2908" t="str">
            <v xml:space="preserve">  P.434.            </v>
          </cell>
          <cell r="E2908" t="str">
            <v xml:space="preserve">      </v>
          </cell>
          <cell r="F2908" t="str">
            <v>16.12.56.</v>
          </cell>
          <cell r="G2908" t="str">
            <v xml:space="preserve">Outros  </v>
          </cell>
          <cell r="H2908" t="str">
            <v xml:space="preserve">      </v>
          </cell>
          <cell r="I2908">
            <v>0</v>
          </cell>
          <cell r="J2908">
            <v>0</v>
          </cell>
          <cell r="K2908">
            <v>0</v>
          </cell>
          <cell r="L2908">
            <v>0</v>
          </cell>
        </row>
        <row r="2909">
          <cell r="D2909" t="str">
            <v xml:space="preserve">  P.435.            </v>
          </cell>
          <cell r="E2909" t="str">
            <v>CP1873</v>
          </cell>
          <cell r="F2909" t="str">
            <v>16.12.57.</v>
          </cell>
          <cell r="G2909" t="str">
            <v xml:space="preserve">Caixa de passagem metálica 20 x 20 x 10 cm com tampa  </v>
          </cell>
          <cell r="H2909" t="str">
            <v xml:space="preserve">pc    </v>
          </cell>
          <cell r="I2909">
            <v>1</v>
          </cell>
          <cell r="J2909">
            <v>46.6</v>
          </cell>
          <cell r="K2909">
            <v>40.61</v>
          </cell>
          <cell r="L2909">
            <v>46.6</v>
          </cell>
        </row>
        <row r="2910">
          <cell r="D2910" t="str">
            <v xml:space="preserve">  P.436.            </v>
          </cell>
          <cell r="E2910" t="str">
            <v>CP2351</v>
          </cell>
          <cell r="F2910" t="str">
            <v>16.12.58.</v>
          </cell>
          <cell r="G2910" t="str">
            <v xml:space="preserve">Acessórios (lamina de serra, saída para eletroduto de perfil, anilhas, arame guia 16 awg, fita isolante, etc)  </v>
          </cell>
          <cell r="H2910" t="str">
            <v xml:space="preserve">un    </v>
          </cell>
          <cell r="I2910">
            <v>1</v>
          </cell>
          <cell r="J2910">
            <v>328.85</v>
          </cell>
          <cell r="K2910">
            <v>1132.0899999999999</v>
          </cell>
          <cell r="L2910">
            <v>328.85</v>
          </cell>
        </row>
        <row r="2911">
          <cell r="D2911" t="str">
            <v xml:space="preserve">  P.437.            </v>
          </cell>
          <cell r="E2911" t="str">
            <v xml:space="preserve">      </v>
          </cell>
          <cell r="F2911" t="str">
            <v>16.12.59.</v>
          </cell>
          <cell r="G2911" t="str">
            <v xml:space="preserve">Equipamentos  </v>
          </cell>
          <cell r="H2911" t="str">
            <v xml:space="preserve">      </v>
          </cell>
          <cell r="I2911">
            <v>0</v>
          </cell>
          <cell r="J2911">
            <v>0</v>
          </cell>
          <cell r="K2911">
            <v>0</v>
          </cell>
          <cell r="L2911">
            <v>0</v>
          </cell>
        </row>
        <row r="2912">
          <cell r="D2912" t="str">
            <v xml:space="preserve">  P.438.            </v>
          </cell>
          <cell r="E2912" t="str">
            <v>CP1334</v>
          </cell>
          <cell r="F2912" t="str">
            <v>16.12.60.</v>
          </cell>
          <cell r="G2912" t="str">
            <v xml:space="preserve">No-break 3 kVA, 220 V, monofásico, com banco de baterias selada em gabinete próprio, autonomia de 10 min, on-line, conforme especificações  </v>
          </cell>
          <cell r="H2912" t="str">
            <v xml:space="preserve">pc    </v>
          </cell>
          <cell r="I2912">
            <v>1</v>
          </cell>
          <cell r="J2912">
            <v>5836.43</v>
          </cell>
          <cell r="K2912">
            <v>4873.88</v>
          </cell>
          <cell r="L2912">
            <v>5836.43</v>
          </cell>
        </row>
        <row r="2913">
          <cell r="D2913" t="str">
            <v xml:space="preserve">  P.439.            </v>
          </cell>
          <cell r="E2913" t="str">
            <v xml:space="preserve">      </v>
          </cell>
          <cell r="F2913" t="str">
            <v>16.13.</v>
          </cell>
          <cell r="G2913" t="str">
            <v xml:space="preserve">Prédio Administrativo  </v>
          </cell>
          <cell r="H2913" t="str">
            <v xml:space="preserve">      </v>
          </cell>
          <cell r="I2913">
            <v>0</v>
          </cell>
          <cell r="J2913">
            <v>0</v>
          </cell>
          <cell r="K2913">
            <v>0</v>
          </cell>
          <cell r="L2913">
            <v>0</v>
          </cell>
        </row>
        <row r="2914">
          <cell r="D2914" t="str">
            <v xml:space="preserve">  P.440.            </v>
          </cell>
          <cell r="E2914" t="str">
            <v xml:space="preserve">      </v>
          </cell>
          <cell r="F2914" t="str">
            <v>16.13.1.</v>
          </cell>
          <cell r="G2914" t="str">
            <v xml:space="preserve">Fornecimento e instalação  </v>
          </cell>
          <cell r="H2914" t="str">
            <v xml:space="preserve">      </v>
          </cell>
          <cell r="I2914">
            <v>0</v>
          </cell>
          <cell r="J2914">
            <v>0</v>
          </cell>
          <cell r="K2914">
            <v>0</v>
          </cell>
          <cell r="L2914">
            <v>0</v>
          </cell>
        </row>
        <row r="2915">
          <cell r="D2915" t="str">
            <v xml:space="preserve">  P.441.            </v>
          </cell>
          <cell r="E2915" t="str">
            <v xml:space="preserve">      </v>
          </cell>
          <cell r="F2915" t="str">
            <v>16.13.2.</v>
          </cell>
          <cell r="G2915" t="str">
            <v xml:space="preserve">Eletrodutos e acessórios  </v>
          </cell>
          <cell r="H2915" t="str">
            <v xml:space="preserve">      </v>
          </cell>
          <cell r="I2915">
            <v>0</v>
          </cell>
          <cell r="J2915">
            <v>0</v>
          </cell>
          <cell r="K2915">
            <v>0</v>
          </cell>
          <cell r="L2915">
            <v>0</v>
          </cell>
        </row>
        <row r="2916">
          <cell r="D2916" t="str">
            <v xml:space="preserve">  P.442.            </v>
          </cell>
          <cell r="E2916" t="str">
            <v>CP1970</v>
          </cell>
          <cell r="F2916" t="str">
            <v>16.13.3.</v>
          </cell>
          <cell r="G2916" t="str">
            <v xml:space="preserve">Eletroduto aço carbono com costura ABNT NBR 5624 pesado classe i, zincado, com uma luva, parede de espessura 3,75 mm, comp. de 3000 mm Dn (3/4) 20 mm  </v>
          </cell>
          <cell r="H2916" t="str">
            <v xml:space="preserve">m     </v>
          </cell>
          <cell r="I2916">
            <v>480</v>
          </cell>
          <cell r="J2916">
            <v>11.9</v>
          </cell>
          <cell r="K2916">
            <v>9.9600000000000009</v>
          </cell>
          <cell r="L2916">
            <v>5712</v>
          </cell>
        </row>
        <row r="2917">
          <cell r="D2917" t="str">
            <v xml:space="preserve">  P.443.            </v>
          </cell>
          <cell r="E2917" t="str">
            <v>CP2311</v>
          </cell>
          <cell r="F2917" t="str">
            <v>16.13.4.</v>
          </cell>
          <cell r="G2917" t="str">
            <v xml:space="preserve">Bucha e arruela ferro galvanizado Dn (3/4) 20 mm  </v>
          </cell>
          <cell r="H2917" t="str">
            <v xml:space="preserve">pc    </v>
          </cell>
          <cell r="I2917">
            <v>723</v>
          </cell>
          <cell r="J2917">
            <v>1.03</v>
          </cell>
          <cell r="K2917">
            <v>1.32</v>
          </cell>
          <cell r="L2917">
            <v>744.69</v>
          </cell>
        </row>
        <row r="2918">
          <cell r="D2918" t="str">
            <v xml:space="preserve">  P.444.            </v>
          </cell>
          <cell r="E2918" t="str">
            <v>CP2297</v>
          </cell>
          <cell r="F2918" t="str">
            <v>16.13.5.</v>
          </cell>
          <cell r="G2918" t="str">
            <v xml:space="preserve">Braçadeira tipo d Dn (3/4) 20 mm  </v>
          </cell>
          <cell r="H2918" t="str">
            <v xml:space="preserve">pc    </v>
          </cell>
          <cell r="I2918">
            <v>240</v>
          </cell>
          <cell r="J2918">
            <v>5.17</v>
          </cell>
          <cell r="K2918">
            <v>7.38</v>
          </cell>
          <cell r="L2918">
            <v>1240.8</v>
          </cell>
        </row>
        <row r="2919">
          <cell r="D2919" t="str">
            <v xml:space="preserve">  P.445.            </v>
          </cell>
          <cell r="E2919" t="str">
            <v xml:space="preserve">      </v>
          </cell>
          <cell r="F2919" t="str">
            <v>16.13.6.</v>
          </cell>
          <cell r="G2919" t="str">
            <v xml:space="preserve">Cabos e acessórios  </v>
          </cell>
          <cell r="H2919" t="str">
            <v xml:space="preserve">      </v>
          </cell>
          <cell r="I2919">
            <v>0</v>
          </cell>
          <cell r="J2919">
            <v>0</v>
          </cell>
          <cell r="K2919">
            <v>0</v>
          </cell>
          <cell r="L2919">
            <v>0</v>
          </cell>
        </row>
        <row r="2920">
          <cell r="D2920" t="str">
            <v xml:space="preserve">  P.446.            </v>
          </cell>
          <cell r="E2920" t="str">
            <v xml:space="preserve">      </v>
          </cell>
          <cell r="F2920" t="str">
            <v>16.13.7.</v>
          </cell>
          <cell r="G2920" t="str">
            <v xml:space="preserve">Cabo cobre, tempera mole, PVC, 70oc, 0,45/0.7kV NBR-6880, NBR-6148  </v>
          </cell>
          <cell r="H2920" t="str">
            <v xml:space="preserve">      </v>
          </cell>
          <cell r="I2920">
            <v>0</v>
          </cell>
          <cell r="J2920">
            <v>0</v>
          </cell>
          <cell r="K2920">
            <v>0</v>
          </cell>
          <cell r="L2920">
            <v>0</v>
          </cell>
        </row>
        <row r="2921">
          <cell r="D2921" t="str">
            <v xml:space="preserve">  P.447.            </v>
          </cell>
          <cell r="E2921" t="str">
            <v>CP2299</v>
          </cell>
          <cell r="F2921" t="str">
            <v>16.13.8.</v>
          </cell>
          <cell r="G2921" t="str">
            <v xml:space="preserve">Cabo cobre, tempera mole, PVC, 70oc, 0,45/0.7kV NBR-6880, NBR-6148 #2,5mm  </v>
          </cell>
          <cell r="H2921" t="str">
            <v xml:space="preserve">m     </v>
          </cell>
          <cell r="I2921">
            <v>9480</v>
          </cell>
          <cell r="J2921">
            <v>2.79</v>
          </cell>
          <cell r="K2921">
            <v>2.37</v>
          </cell>
          <cell r="L2921">
            <v>26449.200000000001</v>
          </cell>
        </row>
        <row r="2922">
          <cell r="D2922" t="str">
            <v xml:space="preserve">  P.448.            </v>
          </cell>
          <cell r="E2922" t="str">
            <v>CP2286</v>
          </cell>
          <cell r="F2922" t="str">
            <v>16.13.9.</v>
          </cell>
          <cell r="G2922" t="str">
            <v xml:space="preserve">Cabo cobre, tempera mole, PVC, 70oc, 0,45/0.7kV NBR-6880, NBR-6148 #4,0mm  </v>
          </cell>
          <cell r="H2922" t="str">
            <v xml:space="preserve">m     </v>
          </cell>
          <cell r="I2922">
            <v>845</v>
          </cell>
          <cell r="J2922">
            <v>3</v>
          </cell>
          <cell r="K2922">
            <v>2.92</v>
          </cell>
          <cell r="L2922">
            <v>2535</v>
          </cell>
        </row>
        <row r="2923">
          <cell r="D2923" t="str">
            <v xml:space="preserve">  P.449.            </v>
          </cell>
          <cell r="E2923" t="str">
            <v xml:space="preserve">      </v>
          </cell>
          <cell r="F2923" t="str">
            <v>16.13.10.</v>
          </cell>
          <cell r="G2923" t="str">
            <v xml:space="preserve">Cabo cobre, tempera mole, EPR, 90oc, 0,6/1kV Pirelli Afumex ou equivalente  </v>
          </cell>
          <cell r="H2923" t="str">
            <v xml:space="preserve">      </v>
          </cell>
          <cell r="I2923">
            <v>0</v>
          </cell>
          <cell r="J2923">
            <v>0</v>
          </cell>
          <cell r="K2923">
            <v>0</v>
          </cell>
          <cell r="L2923">
            <v>0</v>
          </cell>
        </row>
        <row r="2924">
          <cell r="D2924" t="str">
            <v xml:space="preserve">  P.450.            </v>
          </cell>
          <cell r="E2924" t="str">
            <v>CP5038</v>
          </cell>
          <cell r="F2924" t="str">
            <v>16.13.11.</v>
          </cell>
          <cell r="G2924" t="str">
            <v xml:space="preserve">Cabo cobre, tempera mole, EPR, 90oc, 0,6/1kV Pirelli Afumex ou equivalente 1x6mm  </v>
          </cell>
          <cell r="H2924" t="str">
            <v xml:space="preserve">m     </v>
          </cell>
          <cell r="I2924">
            <v>1250</v>
          </cell>
          <cell r="J2924">
            <v>13.92</v>
          </cell>
          <cell r="K2924">
            <v>11.61</v>
          </cell>
          <cell r="L2924">
            <v>17400</v>
          </cell>
        </row>
        <row r="2925">
          <cell r="D2925" t="str">
            <v xml:space="preserve">  P.451.            </v>
          </cell>
          <cell r="E2925" t="str">
            <v xml:space="preserve">      </v>
          </cell>
          <cell r="F2925" t="str">
            <v>16.13.12.</v>
          </cell>
          <cell r="G2925" t="str">
            <v xml:space="preserve">Perfil  </v>
          </cell>
          <cell r="H2925" t="str">
            <v xml:space="preserve">      </v>
          </cell>
          <cell r="I2925">
            <v>0</v>
          </cell>
          <cell r="J2925">
            <v>0</v>
          </cell>
          <cell r="K2925">
            <v>0</v>
          </cell>
          <cell r="L2925">
            <v>0</v>
          </cell>
        </row>
        <row r="2926">
          <cell r="D2926" t="str">
            <v xml:space="preserve">  P.452.            </v>
          </cell>
          <cell r="E2926" t="str">
            <v>CP1778</v>
          </cell>
          <cell r="F2926" t="str">
            <v>16.13.13.</v>
          </cell>
          <cell r="G2926" t="str">
            <v xml:space="preserve">Perfil perfurada, tipo u, 38x38mm, chapa #16msg, galvanizado eletroliticamente, peça de 6000 mm  </v>
          </cell>
          <cell r="H2926" t="str">
            <v xml:space="preserve">pc    </v>
          </cell>
          <cell r="I2926">
            <v>113</v>
          </cell>
          <cell r="J2926">
            <v>115.53</v>
          </cell>
          <cell r="K2926">
            <v>143.54</v>
          </cell>
          <cell r="L2926">
            <v>13054.89</v>
          </cell>
        </row>
        <row r="2927">
          <cell r="D2927" t="str">
            <v xml:space="preserve">  P.453.            </v>
          </cell>
          <cell r="E2927" t="str">
            <v>CP2085</v>
          </cell>
          <cell r="F2927" t="str">
            <v>16.13.14.</v>
          </cell>
          <cell r="G2927" t="str">
            <v xml:space="preserve">Perfil Conexão tipo cotovelo 90o  </v>
          </cell>
          <cell r="H2927" t="str">
            <v xml:space="preserve">pc    </v>
          </cell>
          <cell r="I2927">
            <v>26</v>
          </cell>
          <cell r="J2927">
            <v>6.8</v>
          </cell>
          <cell r="K2927">
            <v>9.7200000000000006</v>
          </cell>
          <cell r="L2927">
            <v>176.8</v>
          </cell>
        </row>
        <row r="2928">
          <cell r="D2928" t="str">
            <v xml:space="preserve">  P.454.            </v>
          </cell>
          <cell r="E2928" t="str">
            <v>CP3013</v>
          </cell>
          <cell r="F2928" t="str">
            <v>16.13.15.</v>
          </cell>
          <cell r="G2928" t="str">
            <v xml:space="preserve">Perfil Conexão tipo tê 90o  </v>
          </cell>
          <cell r="H2928" t="str">
            <v xml:space="preserve">pc    </v>
          </cell>
          <cell r="I2928">
            <v>23</v>
          </cell>
          <cell r="J2928">
            <v>14.46</v>
          </cell>
          <cell r="K2928">
            <v>13.17</v>
          </cell>
          <cell r="L2928">
            <v>332.58</v>
          </cell>
        </row>
        <row r="2929">
          <cell r="D2929" t="str">
            <v xml:space="preserve">  P.455.            </v>
          </cell>
          <cell r="E2929" t="str">
            <v>CP1960</v>
          </cell>
          <cell r="F2929" t="str">
            <v>16.13.16.</v>
          </cell>
          <cell r="G2929" t="str">
            <v xml:space="preserve">Perfil Conexão tipo X 90o  </v>
          </cell>
          <cell r="H2929" t="str">
            <v xml:space="preserve">pc    </v>
          </cell>
          <cell r="I2929">
            <v>12</v>
          </cell>
          <cell r="J2929">
            <v>15.25</v>
          </cell>
          <cell r="K2929">
            <v>14.37</v>
          </cell>
          <cell r="L2929">
            <v>183</v>
          </cell>
        </row>
        <row r="2930">
          <cell r="D2930" t="str">
            <v xml:space="preserve">  P.456.            </v>
          </cell>
          <cell r="E2930" t="str">
            <v>CP2153</v>
          </cell>
          <cell r="F2930" t="str">
            <v>16.13.17.</v>
          </cell>
          <cell r="G2930" t="str">
            <v xml:space="preserve">Perfil Junção simples  </v>
          </cell>
          <cell r="H2930" t="str">
            <v xml:space="preserve">pc    </v>
          </cell>
          <cell r="I2930">
            <v>177</v>
          </cell>
          <cell r="J2930">
            <v>8.66</v>
          </cell>
          <cell r="K2930">
            <v>7.26</v>
          </cell>
          <cell r="L2930">
            <v>1532.82</v>
          </cell>
        </row>
        <row r="2931">
          <cell r="D2931" t="str">
            <v xml:space="preserve">  P.457.            </v>
          </cell>
          <cell r="E2931" t="str">
            <v>CP2201</v>
          </cell>
          <cell r="F2931" t="str">
            <v>16.13.18.</v>
          </cell>
          <cell r="G2931" t="str">
            <v xml:space="preserve">Perfil Chumbador 1/4  </v>
          </cell>
          <cell r="H2931" t="str">
            <v xml:space="preserve">pc    </v>
          </cell>
          <cell r="I2931">
            <v>339</v>
          </cell>
          <cell r="J2931">
            <v>4.6399999999999997</v>
          </cell>
          <cell r="K2931">
            <v>5.5</v>
          </cell>
          <cell r="L2931">
            <v>1572.96</v>
          </cell>
        </row>
        <row r="2932">
          <cell r="D2932" t="str">
            <v xml:space="preserve">  P.458.            </v>
          </cell>
          <cell r="E2932" t="str">
            <v>CP2110</v>
          </cell>
          <cell r="F2932" t="str">
            <v>16.13.19.</v>
          </cell>
          <cell r="G2932" t="str">
            <v xml:space="preserve">Perfil Tirante de aço - rosca NC total 1/4  </v>
          </cell>
          <cell r="H2932" t="str">
            <v xml:space="preserve">pc    </v>
          </cell>
          <cell r="I2932">
            <v>160</v>
          </cell>
          <cell r="J2932">
            <v>17.93</v>
          </cell>
          <cell r="K2932">
            <v>19.96</v>
          </cell>
          <cell r="L2932">
            <v>2868.8</v>
          </cell>
        </row>
        <row r="2933">
          <cell r="D2933" t="str">
            <v xml:space="preserve">  P.459.            </v>
          </cell>
          <cell r="E2933" t="str">
            <v>CP2330</v>
          </cell>
          <cell r="F2933" t="str">
            <v>16.13.20.</v>
          </cell>
          <cell r="G2933" t="str">
            <v xml:space="preserve">Perfil Porca sextavada 1/4  </v>
          </cell>
          <cell r="H2933" t="str">
            <v xml:space="preserve">pc    </v>
          </cell>
          <cell r="I2933">
            <v>1017</v>
          </cell>
          <cell r="J2933">
            <v>0.92</v>
          </cell>
          <cell r="K2933">
            <v>1.22</v>
          </cell>
          <cell r="L2933">
            <v>935.64</v>
          </cell>
        </row>
        <row r="2934">
          <cell r="D2934" t="str">
            <v xml:space="preserve">  P.460.            </v>
          </cell>
          <cell r="E2934" t="str">
            <v>CP2125</v>
          </cell>
          <cell r="F2934" t="str">
            <v>16.13.21.</v>
          </cell>
          <cell r="G2934" t="str">
            <v xml:space="preserve">Perfil Suspenção para perfil 38x38 mm  </v>
          </cell>
          <cell r="H2934" t="str">
            <v xml:space="preserve">pc    </v>
          </cell>
          <cell r="I2934">
            <v>339</v>
          </cell>
          <cell r="J2934">
            <v>8.7799999999999994</v>
          </cell>
          <cell r="K2934">
            <v>7.35</v>
          </cell>
          <cell r="L2934">
            <v>2976.42</v>
          </cell>
        </row>
        <row r="2935">
          <cell r="D2935" t="str">
            <v xml:space="preserve">  P.461.            </v>
          </cell>
          <cell r="E2935" t="str">
            <v>CP1836</v>
          </cell>
          <cell r="F2935" t="str">
            <v>16.13.22.</v>
          </cell>
          <cell r="G2935" t="str">
            <v xml:space="preserve">Perfil Caixa com 1 tomada 2P (pino redondo) para inst. perfil 38x38 mm  </v>
          </cell>
          <cell r="H2935" t="str">
            <v xml:space="preserve">pc    </v>
          </cell>
          <cell r="I2935">
            <v>213</v>
          </cell>
          <cell r="J2935">
            <v>15.33</v>
          </cell>
          <cell r="K2935">
            <v>12.81</v>
          </cell>
          <cell r="L2935">
            <v>3265.29</v>
          </cell>
        </row>
        <row r="2936">
          <cell r="D2936" t="str">
            <v xml:space="preserve">  P.462.            </v>
          </cell>
          <cell r="E2936" t="str">
            <v xml:space="preserve">      </v>
          </cell>
          <cell r="F2936" t="str">
            <v>16.13.23.</v>
          </cell>
          <cell r="G2936" t="str">
            <v xml:space="preserve">Conduletes  </v>
          </cell>
          <cell r="H2936" t="str">
            <v xml:space="preserve">      </v>
          </cell>
          <cell r="I2936">
            <v>0</v>
          </cell>
          <cell r="J2936">
            <v>0</v>
          </cell>
          <cell r="K2936">
            <v>0</v>
          </cell>
          <cell r="L2936">
            <v>0</v>
          </cell>
        </row>
        <row r="2937">
          <cell r="D2937" t="str">
            <v xml:space="preserve">  P.463.            </v>
          </cell>
          <cell r="E2937" t="str">
            <v xml:space="preserve">      </v>
          </cell>
          <cell r="F2937" t="str">
            <v>16.13.24.</v>
          </cell>
          <cell r="G2937" t="str">
            <v xml:space="preserve">Condulete em liga de alumínio fundido a prova de tempo, umidade, gases, vapores e pó - com Junta de vedação em neoprene rosca bsb (gás) conforme norma ANSI b-2.1  </v>
          </cell>
          <cell r="H2937" t="str">
            <v xml:space="preserve">      </v>
          </cell>
          <cell r="I2937">
            <v>0</v>
          </cell>
          <cell r="J2937">
            <v>0</v>
          </cell>
          <cell r="K2937">
            <v>0</v>
          </cell>
          <cell r="L2937">
            <v>0</v>
          </cell>
        </row>
        <row r="2938">
          <cell r="D2938" t="str">
            <v xml:space="preserve">  P.464.            </v>
          </cell>
          <cell r="E2938" t="str">
            <v>CP1952</v>
          </cell>
          <cell r="F2938" t="str">
            <v>16.13.25.</v>
          </cell>
          <cell r="G2938" t="str">
            <v xml:space="preserve">Condulete em liga de alumínio fundido a prova de tempo, umidade, gases, vapores e pó - com Junta de vedação em neoprene rosca bsb (gás) conforme norma ANSI b-2.1 Ø (3/4) 20 mm  </v>
          </cell>
          <cell r="H2938" t="str">
            <v xml:space="preserve">pc    </v>
          </cell>
          <cell r="I2938">
            <v>455</v>
          </cell>
          <cell r="J2938">
            <v>17.41</v>
          </cell>
          <cell r="K2938">
            <v>14.51</v>
          </cell>
          <cell r="L2938">
            <v>7921.55</v>
          </cell>
        </row>
        <row r="2939">
          <cell r="D2939" t="str">
            <v xml:space="preserve">  P.465.            </v>
          </cell>
          <cell r="E2939" t="str">
            <v>CP1888</v>
          </cell>
          <cell r="F2939" t="str">
            <v>16.13.26.</v>
          </cell>
          <cell r="G2939" t="str">
            <v xml:space="preserve">Condulete em liga de alumínio fundido a prova de tempo, umidade, gases, vapores e pó - com Junta de vedação em neoprene rosca bsb (gás) conforme norma ANSI b-2.1 Ø (1) 25 mm  </v>
          </cell>
          <cell r="H2939" t="str">
            <v xml:space="preserve">pc    </v>
          </cell>
          <cell r="I2939">
            <v>38</v>
          </cell>
          <cell r="J2939">
            <v>21.78</v>
          </cell>
          <cell r="K2939">
            <v>18.2</v>
          </cell>
          <cell r="L2939">
            <v>827.64</v>
          </cell>
        </row>
        <row r="2940">
          <cell r="D2940" t="str">
            <v xml:space="preserve">  P.466.            </v>
          </cell>
          <cell r="E2940" t="str">
            <v>CP2169</v>
          </cell>
          <cell r="F2940" t="str">
            <v>16.13.27.</v>
          </cell>
          <cell r="G2940" t="str">
            <v xml:space="preserve">Box reto em liga de alumínio fundido Dn 1  </v>
          </cell>
          <cell r="H2940" t="str">
            <v xml:space="preserve">pc    </v>
          </cell>
          <cell r="I2940">
            <v>12</v>
          </cell>
          <cell r="J2940">
            <v>8.42</v>
          </cell>
          <cell r="K2940">
            <v>7.07</v>
          </cell>
          <cell r="L2940">
            <v>101.04</v>
          </cell>
        </row>
        <row r="2941">
          <cell r="D2941" t="str">
            <v xml:space="preserve">  P.467.            </v>
          </cell>
          <cell r="E2941" t="str">
            <v xml:space="preserve">      </v>
          </cell>
          <cell r="F2941" t="str">
            <v>16.13.28.</v>
          </cell>
          <cell r="G2941" t="str">
            <v xml:space="preserve">Interruptor em condulete 20 mm  </v>
          </cell>
          <cell r="H2941" t="str">
            <v xml:space="preserve">      </v>
          </cell>
          <cell r="I2941">
            <v>0</v>
          </cell>
          <cell r="J2941">
            <v>0</v>
          </cell>
          <cell r="K2941">
            <v>0</v>
          </cell>
          <cell r="L2941">
            <v>0</v>
          </cell>
        </row>
        <row r="2942">
          <cell r="D2942" t="str">
            <v xml:space="preserve">  P.468.            </v>
          </cell>
          <cell r="E2942" t="str">
            <v>CP1910</v>
          </cell>
          <cell r="F2942" t="str">
            <v>16.13.29.</v>
          </cell>
          <cell r="G2942" t="str">
            <v xml:space="preserve">Interruptor em condulete 20 mm Tipo simples 01 tecla  </v>
          </cell>
          <cell r="H2942" t="str">
            <v xml:space="preserve">pc    </v>
          </cell>
          <cell r="I2942">
            <v>14</v>
          </cell>
          <cell r="J2942">
            <v>24.08</v>
          </cell>
          <cell r="K2942">
            <v>20.2</v>
          </cell>
          <cell r="L2942">
            <v>337.12</v>
          </cell>
        </row>
        <row r="2943">
          <cell r="D2943" t="str">
            <v xml:space="preserve">  P.469.            </v>
          </cell>
          <cell r="E2943" t="str">
            <v>CP1899</v>
          </cell>
          <cell r="F2943" t="str">
            <v>16.13.30.</v>
          </cell>
          <cell r="G2943" t="str">
            <v xml:space="preserve">Interruptor em condulete 20 mm Tipo simples 02 teclas  </v>
          </cell>
          <cell r="H2943" t="str">
            <v xml:space="preserve">pc    </v>
          </cell>
          <cell r="I2943">
            <v>26</v>
          </cell>
          <cell r="J2943">
            <v>33.74</v>
          </cell>
          <cell r="K2943">
            <v>28.13</v>
          </cell>
          <cell r="L2943">
            <v>877.24</v>
          </cell>
        </row>
        <row r="2944">
          <cell r="D2944" t="str">
            <v xml:space="preserve">  P.470.            </v>
          </cell>
          <cell r="E2944" t="str">
            <v>CP1874</v>
          </cell>
          <cell r="F2944" t="str">
            <v>16.13.31.</v>
          </cell>
          <cell r="G2944" t="str">
            <v xml:space="preserve">Interruptor em condulete 20 mm Tipo simples 03 teclas  </v>
          </cell>
          <cell r="H2944" t="str">
            <v xml:space="preserve">pc    </v>
          </cell>
          <cell r="I2944">
            <v>4</v>
          </cell>
          <cell r="J2944">
            <v>32.28</v>
          </cell>
          <cell r="K2944">
            <v>27.04</v>
          </cell>
          <cell r="L2944">
            <v>129.12</v>
          </cell>
        </row>
        <row r="2945">
          <cell r="D2945" t="str">
            <v xml:space="preserve">  P.471.            </v>
          </cell>
          <cell r="E2945" t="str">
            <v>CP1877</v>
          </cell>
          <cell r="F2945" t="str">
            <v>16.13.32.</v>
          </cell>
          <cell r="G2945" t="str">
            <v xml:space="preserve">Interruptor em condulete 20 mm Tipo three way 02 teclas  </v>
          </cell>
          <cell r="H2945" t="str">
            <v xml:space="preserve">pc    </v>
          </cell>
          <cell r="I2945">
            <v>19</v>
          </cell>
          <cell r="J2945">
            <v>28.47</v>
          </cell>
          <cell r="K2945">
            <v>23.79</v>
          </cell>
          <cell r="L2945">
            <v>540.92999999999995</v>
          </cell>
        </row>
        <row r="2946">
          <cell r="D2946" t="str">
            <v xml:space="preserve">  P.472.            </v>
          </cell>
          <cell r="E2946" t="str">
            <v>CP1852</v>
          </cell>
          <cell r="F2946" t="str">
            <v>16.13.33.</v>
          </cell>
          <cell r="G2946" t="str">
            <v xml:space="preserve">Interruptor em condulete 20 mm Tipo three way 03 teclas  </v>
          </cell>
          <cell r="H2946" t="str">
            <v xml:space="preserve">pc    </v>
          </cell>
          <cell r="I2946">
            <v>3</v>
          </cell>
          <cell r="J2946">
            <v>38.51</v>
          </cell>
          <cell r="K2946">
            <v>32.270000000000003</v>
          </cell>
          <cell r="L2946">
            <v>115.53</v>
          </cell>
        </row>
        <row r="2947">
          <cell r="D2947" t="str">
            <v xml:space="preserve">  P.473.            </v>
          </cell>
          <cell r="E2947" t="str">
            <v xml:space="preserve">      </v>
          </cell>
          <cell r="F2947" t="str">
            <v>16.13.34.</v>
          </cell>
          <cell r="G2947" t="str">
            <v xml:space="preserve">Tomadas em condulete 20 mm  </v>
          </cell>
          <cell r="H2947" t="str">
            <v xml:space="preserve">      </v>
          </cell>
          <cell r="I2947">
            <v>0</v>
          </cell>
          <cell r="J2947">
            <v>0</v>
          </cell>
          <cell r="K2947">
            <v>0</v>
          </cell>
          <cell r="L2947">
            <v>0</v>
          </cell>
        </row>
        <row r="2948">
          <cell r="D2948" t="str">
            <v xml:space="preserve">  P.474.            </v>
          </cell>
          <cell r="E2948" t="str">
            <v>CP1857</v>
          </cell>
          <cell r="F2948" t="str">
            <v>16.13.35.</v>
          </cell>
          <cell r="G2948" t="str">
            <v xml:space="preserve">Tomadas em condulete 20 mm Tipo 2p+t (pino redondo, tipo universal)  </v>
          </cell>
          <cell r="H2948" t="str">
            <v xml:space="preserve">pc    </v>
          </cell>
          <cell r="I2948">
            <v>153</v>
          </cell>
          <cell r="J2948">
            <v>17.559999999999999</v>
          </cell>
          <cell r="K2948">
            <v>14.75</v>
          </cell>
          <cell r="L2948">
            <v>2686.68</v>
          </cell>
        </row>
        <row r="2949">
          <cell r="D2949" t="str">
            <v xml:space="preserve">  P.475.            </v>
          </cell>
          <cell r="E2949" t="str">
            <v>CP1846</v>
          </cell>
          <cell r="F2949" t="str">
            <v>16.13.36.</v>
          </cell>
          <cell r="G2949" t="str">
            <v xml:space="preserve">Tomadas em condulete 20 mm Tipo 2p+t (pino chato)  </v>
          </cell>
          <cell r="H2949" t="str">
            <v xml:space="preserve">pc    </v>
          </cell>
          <cell r="I2949">
            <v>49</v>
          </cell>
          <cell r="J2949">
            <v>25</v>
          </cell>
          <cell r="K2949">
            <v>21</v>
          </cell>
          <cell r="L2949">
            <v>1225</v>
          </cell>
        </row>
        <row r="2950">
          <cell r="D2950" t="str">
            <v xml:space="preserve">  P.476.            </v>
          </cell>
          <cell r="E2950" t="str">
            <v>CP1724</v>
          </cell>
          <cell r="F2950" t="str">
            <v>16.13.37.</v>
          </cell>
          <cell r="G2950" t="str">
            <v xml:space="preserve">Tomada tetrapolar, 50 A, Steck ou similar  </v>
          </cell>
          <cell r="H2950" t="str">
            <v xml:space="preserve">un    </v>
          </cell>
          <cell r="I2950">
            <v>2</v>
          </cell>
          <cell r="J2950">
            <v>62.56</v>
          </cell>
          <cell r="K2950">
            <v>52.2</v>
          </cell>
          <cell r="L2950">
            <v>125.12</v>
          </cell>
        </row>
        <row r="2951">
          <cell r="D2951" t="str">
            <v xml:space="preserve">  P.477.            </v>
          </cell>
          <cell r="E2951" t="str">
            <v xml:space="preserve">      </v>
          </cell>
          <cell r="F2951" t="str">
            <v>16.13.38.</v>
          </cell>
          <cell r="G2951" t="str">
            <v xml:space="preserve">Luminárias  </v>
          </cell>
          <cell r="H2951" t="str">
            <v xml:space="preserve">      </v>
          </cell>
          <cell r="I2951">
            <v>0</v>
          </cell>
          <cell r="J2951">
            <v>0</v>
          </cell>
          <cell r="K2951">
            <v>0</v>
          </cell>
          <cell r="L2951">
            <v>0</v>
          </cell>
        </row>
        <row r="2952">
          <cell r="D2952" t="str">
            <v xml:space="preserve">  P.478.            </v>
          </cell>
          <cell r="E2952" t="str">
            <v>CP1582</v>
          </cell>
          <cell r="F2952" t="str">
            <v>16.13.39.</v>
          </cell>
          <cell r="G2952" t="str">
            <v xml:space="preserve">Luminárias fluorescente 2x26w-tipo PL, completa,de sobrepor, com reator eletrônico, AFP, completa, refletor em alumínio, ref. TESEO fab ALTENA  </v>
          </cell>
          <cell r="H2952" t="str">
            <v xml:space="preserve">pc    </v>
          </cell>
          <cell r="I2952">
            <v>3</v>
          </cell>
          <cell r="J2952">
            <v>838.58</v>
          </cell>
          <cell r="K2952">
            <v>915.67</v>
          </cell>
          <cell r="L2952">
            <v>2515.7399999999998</v>
          </cell>
        </row>
        <row r="2953">
          <cell r="D2953" t="str">
            <v xml:space="preserve">  P.479.            </v>
          </cell>
          <cell r="E2953" t="str">
            <v>CP1651</v>
          </cell>
          <cell r="F2953" t="str">
            <v>16.13.40.</v>
          </cell>
          <cell r="G2953" t="str">
            <v>Luminária 2X32W, de sobrepor, corpo em chapa de aço tratada e pintura eletrostática branca. Refletor em chapa de alumínio anodizado brilhante, de alta pureza e reator eletrônico, de alto fator de potência, alojado na cabeceira e acompanhado de lâmpadas, a</v>
          </cell>
          <cell r="H2953" t="str">
            <v xml:space="preserve">pc    </v>
          </cell>
          <cell r="I2953">
            <v>197</v>
          </cell>
          <cell r="J2953">
            <v>104.77</v>
          </cell>
          <cell r="K2953">
            <v>87.99</v>
          </cell>
          <cell r="L2953">
            <v>20639.689999999999</v>
          </cell>
        </row>
        <row r="2954">
          <cell r="D2954" t="str">
            <v xml:space="preserve">  P.480.            </v>
          </cell>
          <cell r="E2954" t="str">
            <v>CP1638</v>
          </cell>
          <cell r="F2954" t="str">
            <v>16.13.41.</v>
          </cell>
          <cell r="G2954" t="str">
            <v xml:space="preserve">Luminária 1X110W, de sobrepor, corpo em chapa de aço tratada e pintura eletrostática branca. Refletor em chapa de alumínio anodizado brilhante, de alta pureza e reator eletrônico, de alto fator de potência, alojado na cabeceira e acompanhado de lâmpadas, </v>
          </cell>
          <cell r="H2954" t="str">
            <v xml:space="preserve">pc    </v>
          </cell>
          <cell r="I2954">
            <v>13</v>
          </cell>
          <cell r="J2954">
            <v>261.32</v>
          </cell>
          <cell r="K2954">
            <v>219.11</v>
          </cell>
          <cell r="L2954">
            <v>3397.16</v>
          </cell>
        </row>
        <row r="2955">
          <cell r="D2955" t="str">
            <v xml:space="preserve">  P.481.            </v>
          </cell>
          <cell r="E2955" t="str">
            <v xml:space="preserve">      </v>
          </cell>
          <cell r="F2955" t="str">
            <v>16.13.42.</v>
          </cell>
          <cell r="G2955" t="str">
            <v xml:space="preserve">Outros  </v>
          </cell>
          <cell r="H2955" t="str">
            <v xml:space="preserve">      </v>
          </cell>
          <cell r="I2955">
            <v>0</v>
          </cell>
          <cell r="J2955">
            <v>0</v>
          </cell>
          <cell r="K2955">
            <v>0</v>
          </cell>
          <cell r="L2955">
            <v>0</v>
          </cell>
        </row>
        <row r="2956">
          <cell r="D2956" t="str">
            <v xml:space="preserve">  P.482.            </v>
          </cell>
          <cell r="E2956" t="str">
            <v>CP1800</v>
          </cell>
          <cell r="F2956" t="str">
            <v>16.13.43.</v>
          </cell>
          <cell r="G2956" t="str">
            <v xml:space="preserve">Caixa de passagem metálica 60 x 60 x 12 cm com tampa  </v>
          </cell>
          <cell r="H2956" t="str">
            <v xml:space="preserve">pc    </v>
          </cell>
          <cell r="I2956">
            <v>1</v>
          </cell>
          <cell r="J2956">
            <v>240.88</v>
          </cell>
          <cell r="K2956">
            <v>247.47</v>
          </cell>
          <cell r="L2956">
            <v>240.88</v>
          </cell>
        </row>
        <row r="2957">
          <cell r="D2957" t="str">
            <v xml:space="preserve">  P.483.            </v>
          </cell>
          <cell r="E2957" t="str">
            <v>CP2350</v>
          </cell>
          <cell r="F2957" t="str">
            <v>16.13.44.</v>
          </cell>
          <cell r="G2957" t="str">
            <v xml:space="preserve">Acessórios (lamina de serra, saída para eletroduto de perfil, anilhas, arame guia 16 awg, fita isolante, etc)  </v>
          </cell>
          <cell r="H2957" t="str">
            <v xml:space="preserve">un    </v>
          </cell>
          <cell r="I2957">
            <v>1</v>
          </cell>
          <cell r="J2957">
            <v>1346.11</v>
          </cell>
          <cell r="K2957">
            <v>1132.0899999999999</v>
          </cell>
          <cell r="L2957">
            <v>1346.11</v>
          </cell>
        </row>
        <row r="2958">
          <cell r="D2958" t="str">
            <v xml:space="preserve">  P.484.            </v>
          </cell>
          <cell r="E2958" t="str">
            <v xml:space="preserve">      </v>
          </cell>
          <cell r="F2958" t="str">
            <v>16.13.45.</v>
          </cell>
          <cell r="G2958" t="str">
            <v xml:space="preserve">Equipamentos  </v>
          </cell>
          <cell r="H2958" t="str">
            <v xml:space="preserve">      </v>
          </cell>
          <cell r="I2958">
            <v>0</v>
          </cell>
          <cell r="J2958">
            <v>0</v>
          </cell>
          <cell r="K2958">
            <v>0</v>
          </cell>
          <cell r="L2958">
            <v>0</v>
          </cell>
        </row>
        <row r="2959">
          <cell r="D2959" t="str">
            <v xml:space="preserve">  P.485.            </v>
          </cell>
          <cell r="E2959" t="str">
            <v>CP1280</v>
          </cell>
          <cell r="F2959" t="str">
            <v>16.13.46.</v>
          </cell>
          <cell r="G2959" t="str">
            <v xml:space="preserve">No-break 7,5 kVA, 220 V, monofásico, com banco de baterias selada, em gabinete próprio, autonomia de 10 min, on-line, conforme especificações  </v>
          </cell>
          <cell r="H2959" t="str">
            <v xml:space="preserve">pc    </v>
          </cell>
          <cell r="I2959">
            <v>1</v>
          </cell>
          <cell r="J2959">
            <v>12396.24</v>
          </cell>
          <cell r="K2959">
            <v>10385.1</v>
          </cell>
          <cell r="L2959">
            <v>12396.24</v>
          </cell>
        </row>
        <row r="2960">
          <cell r="D2960" t="str">
            <v xml:space="preserve">  P.486.            </v>
          </cell>
          <cell r="E2960" t="str">
            <v xml:space="preserve">      </v>
          </cell>
          <cell r="F2960" t="str">
            <v>16.14.</v>
          </cell>
          <cell r="G2960" t="str">
            <v xml:space="preserve">Galeria dos Filtros  </v>
          </cell>
          <cell r="H2960" t="str">
            <v xml:space="preserve">      </v>
          </cell>
          <cell r="I2960">
            <v>0</v>
          </cell>
          <cell r="J2960">
            <v>0</v>
          </cell>
          <cell r="K2960">
            <v>0</v>
          </cell>
          <cell r="L2960">
            <v>0</v>
          </cell>
        </row>
        <row r="2961">
          <cell r="D2961" t="str">
            <v xml:space="preserve">  P.487.            </v>
          </cell>
          <cell r="E2961" t="str">
            <v xml:space="preserve">      </v>
          </cell>
          <cell r="F2961" t="str">
            <v>16.14.1.</v>
          </cell>
          <cell r="G2961" t="str">
            <v xml:space="preserve">Fornecimento e instalação  </v>
          </cell>
          <cell r="H2961" t="str">
            <v xml:space="preserve">      </v>
          </cell>
          <cell r="I2961">
            <v>0</v>
          </cell>
          <cell r="J2961">
            <v>0</v>
          </cell>
          <cell r="K2961">
            <v>0</v>
          </cell>
          <cell r="L2961">
            <v>0</v>
          </cell>
        </row>
        <row r="2962">
          <cell r="D2962" t="str">
            <v xml:space="preserve">  P.488.            </v>
          </cell>
          <cell r="E2962" t="str">
            <v xml:space="preserve">      </v>
          </cell>
          <cell r="F2962" t="str">
            <v>16.14.2.</v>
          </cell>
          <cell r="G2962" t="str">
            <v xml:space="preserve">Eletrodutos e acessórios  </v>
          </cell>
          <cell r="H2962" t="str">
            <v xml:space="preserve">      </v>
          </cell>
          <cell r="I2962">
            <v>0</v>
          </cell>
          <cell r="J2962">
            <v>0</v>
          </cell>
          <cell r="K2962">
            <v>0</v>
          </cell>
          <cell r="L2962">
            <v>0</v>
          </cell>
        </row>
        <row r="2963">
          <cell r="D2963" t="str">
            <v xml:space="preserve">  P.489.            </v>
          </cell>
          <cell r="E2963" t="str">
            <v xml:space="preserve">      </v>
          </cell>
          <cell r="F2963" t="str">
            <v>16.14.3.</v>
          </cell>
          <cell r="G2963" t="str">
            <v xml:space="preserve">Eletroduto aço carbono com costura ABNT NBR 5624 pesado classe i, zincado, com uma luva, parede de espessura 3,75 mm, comp. de 3000 mm  </v>
          </cell>
          <cell r="H2963" t="str">
            <v xml:space="preserve">      </v>
          </cell>
          <cell r="I2963">
            <v>0</v>
          </cell>
          <cell r="J2963">
            <v>0</v>
          </cell>
          <cell r="K2963">
            <v>0</v>
          </cell>
          <cell r="L2963">
            <v>0</v>
          </cell>
        </row>
        <row r="2964">
          <cell r="D2964" t="str">
            <v xml:space="preserve">  P.490.            </v>
          </cell>
          <cell r="E2964" t="str">
            <v>CP1970</v>
          </cell>
          <cell r="F2964" t="str">
            <v>16.14.4.</v>
          </cell>
          <cell r="G2964" t="str">
            <v xml:space="preserve">Eletroduto aço carbono com costura ABNT NBR 5624 pesado classe i, zincado, com uma luva, parede de espessura 3,75 mm, comp. de 3000 mm Dn (3/4) 20 mm  </v>
          </cell>
          <cell r="H2964" t="str">
            <v xml:space="preserve">m     </v>
          </cell>
          <cell r="I2964">
            <v>44</v>
          </cell>
          <cell r="J2964">
            <v>11.9</v>
          </cell>
          <cell r="K2964">
            <v>9.9600000000000009</v>
          </cell>
          <cell r="L2964">
            <v>523.6</v>
          </cell>
        </row>
        <row r="2965">
          <cell r="D2965" t="str">
            <v xml:space="preserve">  P.491.            </v>
          </cell>
          <cell r="E2965" t="str">
            <v>CP1940</v>
          </cell>
          <cell r="F2965" t="str">
            <v>16.14.5.</v>
          </cell>
          <cell r="G2965" t="str">
            <v xml:space="preserve">Eletroduto aço carbono com costura ABNT NBR 5624 pesado classe i, zincado, com uma luva, parede de espessura 3,75 mm, comp. de 3000 mm Dn (1) 25 mm  </v>
          </cell>
          <cell r="H2965" t="str">
            <v xml:space="preserve">m     </v>
          </cell>
          <cell r="I2965">
            <v>8</v>
          </cell>
          <cell r="J2965">
            <v>15.57</v>
          </cell>
          <cell r="K2965">
            <v>13.06</v>
          </cell>
          <cell r="L2965">
            <v>124.56</v>
          </cell>
        </row>
        <row r="2966">
          <cell r="D2966" t="str">
            <v xml:space="preserve">  P.492.            </v>
          </cell>
          <cell r="E2966" t="str">
            <v xml:space="preserve">      </v>
          </cell>
          <cell r="F2966" t="str">
            <v>16.14.6.</v>
          </cell>
          <cell r="G2966" t="str">
            <v xml:space="preserve">Bucha e arruela ferro galvanizado  </v>
          </cell>
          <cell r="H2966" t="str">
            <v xml:space="preserve">      </v>
          </cell>
          <cell r="I2966">
            <v>0</v>
          </cell>
          <cell r="J2966">
            <v>0</v>
          </cell>
          <cell r="K2966">
            <v>0</v>
          </cell>
          <cell r="L2966">
            <v>0</v>
          </cell>
        </row>
        <row r="2967">
          <cell r="D2967" t="str">
            <v xml:space="preserve">  P.493.            </v>
          </cell>
          <cell r="E2967" t="str">
            <v>CP2311</v>
          </cell>
          <cell r="F2967" t="str">
            <v>16.14.7.</v>
          </cell>
          <cell r="G2967" t="str">
            <v xml:space="preserve">Bucha e arruela ferro galvanizado Dn (3/4) 20 mm  </v>
          </cell>
          <cell r="H2967" t="str">
            <v xml:space="preserve">pc    </v>
          </cell>
          <cell r="I2967">
            <v>30</v>
          </cell>
          <cell r="J2967">
            <v>1.03</v>
          </cell>
          <cell r="K2967">
            <v>1.32</v>
          </cell>
          <cell r="L2967">
            <v>30.9</v>
          </cell>
        </row>
        <row r="2968">
          <cell r="D2968" t="str">
            <v xml:space="preserve">  P.494.            </v>
          </cell>
          <cell r="E2968" t="str">
            <v>CP2293</v>
          </cell>
          <cell r="F2968" t="str">
            <v>16.14.8.</v>
          </cell>
          <cell r="G2968" t="str">
            <v xml:space="preserve">Bucha e arruela ferro galvanizado Dn (1) 25 mm  </v>
          </cell>
          <cell r="H2968" t="str">
            <v xml:space="preserve">pc    </v>
          </cell>
          <cell r="I2968">
            <v>8</v>
          </cell>
          <cell r="J2968">
            <v>1.35</v>
          </cell>
          <cell r="K2968">
            <v>1.64</v>
          </cell>
          <cell r="L2968">
            <v>10.8</v>
          </cell>
        </row>
        <row r="2969">
          <cell r="D2969" t="str">
            <v xml:space="preserve">  P.495.            </v>
          </cell>
          <cell r="E2969" t="str">
            <v xml:space="preserve">      </v>
          </cell>
          <cell r="F2969" t="str">
            <v>16.14.9.</v>
          </cell>
          <cell r="G2969" t="str">
            <v xml:space="preserve">Braçadeira tipo d  </v>
          </cell>
          <cell r="H2969" t="str">
            <v xml:space="preserve">      </v>
          </cell>
          <cell r="I2969">
            <v>0</v>
          </cell>
          <cell r="J2969">
            <v>0</v>
          </cell>
          <cell r="K2969">
            <v>0</v>
          </cell>
          <cell r="L2969">
            <v>0</v>
          </cell>
        </row>
        <row r="2970">
          <cell r="D2970" t="str">
            <v xml:space="preserve">  P.496.            </v>
          </cell>
          <cell r="E2970" t="str">
            <v>CP2297</v>
          </cell>
          <cell r="F2970" t="str">
            <v>16.14.10.</v>
          </cell>
          <cell r="G2970" t="str">
            <v xml:space="preserve">Braçadeira tipo d Dn (3/4) 20 mm  </v>
          </cell>
          <cell r="H2970" t="str">
            <v xml:space="preserve">pc    </v>
          </cell>
          <cell r="I2970">
            <v>22</v>
          </cell>
          <cell r="J2970">
            <v>5.17</v>
          </cell>
          <cell r="K2970">
            <v>7.38</v>
          </cell>
          <cell r="L2970">
            <v>113.74</v>
          </cell>
        </row>
        <row r="2971">
          <cell r="D2971" t="str">
            <v xml:space="preserve">  P.497.            </v>
          </cell>
          <cell r="E2971" t="str">
            <v>CP2270</v>
          </cell>
          <cell r="F2971" t="str">
            <v>16.14.11.</v>
          </cell>
          <cell r="G2971" t="str">
            <v xml:space="preserve">Braçadeira tipo d Dn (1) 25 mm  </v>
          </cell>
          <cell r="H2971" t="str">
            <v xml:space="preserve">pc    </v>
          </cell>
          <cell r="I2971">
            <v>4</v>
          </cell>
          <cell r="J2971">
            <v>7.14</v>
          </cell>
          <cell r="K2971">
            <v>7.13</v>
          </cell>
          <cell r="L2971">
            <v>28.56</v>
          </cell>
        </row>
        <row r="2972">
          <cell r="D2972" t="str">
            <v xml:space="preserve">  P.498.            </v>
          </cell>
          <cell r="E2972" t="str">
            <v xml:space="preserve">      </v>
          </cell>
          <cell r="F2972" t="str">
            <v>16.14.12.</v>
          </cell>
          <cell r="G2972" t="str">
            <v xml:space="preserve">Cabos e acessórios  </v>
          </cell>
          <cell r="H2972" t="str">
            <v xml:space="preserve">      </v>
          </cell>
          <cell r="I2972">
            <v>0</v>
          </cell>
          <cell r="J2972">
            <v>0</v>
          </cell>
          <cell r="K2972">
            <v>0</v>
          </cell>
          <cell r="L2972">
            <v>0</v>
          </cell>
        </row>
        <row r="2973">
          <cell r="D2973" t="str">
            <v xml:space="preserve">  P.499.            </v>
          </cell>
          <cell r="E2973" t="str">
            <v xml:space="preserve">      </v>
          </cell>
          <cell r="F2973" t="str">
            <v>16.14.13.</v>
          </cell>
          <cell r="G2973" t="str">
            <v xml:space="preserve">Cabo cobre, tempera mole, PVC, 70oc, 0,45/0.7kV NBR-6880, NBR-6148  </v>
          </cell>
          <cell r="H2973" t="str">
            <v xml:space="preserve">      </v>
          </cell>
          <cell r="I2973">
            <v>0</v>
          </cell>
          <cell r="J2973">
            <v>0</v>
          </cell>
          <cell r="K2973">
            <v>0</v>
          </cell>
          <cell r="L2973">
            <v>0</v>
          </cell>
        </row>
        <row r="2974">
          <cell r="D2974" t="str">
            <v xml:space="preserve">  P.500.            </v>
          </cell>
          <cell r="E2974" t="str">
            <v>CP2299</v>
          </cell>
          <cell r="F2974" t="str">
            <v>16.14.14.</v>
          </cell>
          <cell r="G2974" t="str">
            <v xml:space="preserve">Cabo cobre, tempera mole, PVC, 70oc, 0,45/0.7kV NBR-6880, NBR-6148 #2,5mm  </v>
          </cell>
          <cell r="H2974" t="str">
            <v xml:space="preserve">m     </v>
          </cell>
          <cell r="I2974">
            <v>420</v>
          </cell>
          <cell r="J2974">
            <v>2.79</v>
          </cell>
          <cell r="K2974">
            <v>2.37</v>
          </cell>
          <cell r="L2974">
            <v>1171.8</v>
          </cell>
        </row>
        <row r="2975">
          <cell r="D2975" t="str">
            <v xml:space="preserve">  P.501.            </v>
          </cell>
          <cell r="E2975" t="str">
            <v>CP2271</v>
          </cell>
          <cell r="F2975" t="str">
            <v>16.14.15.</v>
          </cell>
          <cell r="G2975" t="str">
            <v xml:space="preserve">Cabo cobre, tempera mole, PVC, 70oc, 0,45/0.7kV NBR-6880, NBR-6148 #6,0mm  </v>
          </cell>
          <cell r="H2975" t="str">
            <v xml:space="preserve">m     </v>
          </cell>
          <cell r="I2975">
            <v>300</v>
          </cell>
          <cell r="J2975">
            <v>3.17</v>
          </cell>
          <cell r="K2975">
            <v>5.44</v>
          </cell>
          <cell r="L2975">
            <v>951</v>
          </cell>
        </row>
        <row r="2976">
          <cell r="D2976" t="str">
            <v xml:space="preserve">  P.502.            </v>
          </cell>
          <cell r="E2976" t="str">
            <v xml:space="preserve">      </v>
          </cell>
          <cell r="F2976" t="str">
            <v>16.14.16.</v>
          </cell>
          <cell r="G2976" t="str">
            <v xml:space="preserve">Cabo cobre, tempera mole, EPR, 90oc, 0,6/1kV Pirelli Afumex ou equivalente  </v>
          </cell>
          <cell r="H2976" t="str">
            <v xml:space="preserve">      </v>
          </cell>
          <cell r="I2976">
            <v>0</v>
          </cell>
          <cell r="J2976">
            <v>0</v>
          </cell>
          <cell r="K2976">
            <v>0</v>
          </cell>
          <cell r="L2976">
            <v>0</v>
          </cell>
        </row>
        <row r="2977">
          <cell r="D2977" t="str">
            <v xml:space="preserve">  P.503.            </v>
          </cell>
          <cell r="E2977" t="str">
            <v>CP5028</v>
          </cell>
          <cell r="F2977" t="str">
            <v>16.14.17.</v>
          </cell>
          <cell r="G2977" t="str">
            <v xml:space="preserve">Cabo cobre, tempera mole, EPR, 90oc, 0,6/1kV Pirelli Afumex ou equivalente 1x3(6,0mm)  </v>
          </cell>
          <cell r="H2977" t="str">
            <v xml:space="preserve">m     </v>
          </cell>
          <cell r="I2977">
            <v>720</v>
          </cell>
          <cell r="J2977">
            <v>11.42</v>
          </cell>
          <cell r="K2977">
            <v>9.5399999999999991</v>
          </cell>
          <cell r="L2977">
            <v>8222.4</v>
          </cell>
        </row>
        <row r="2978">
          <cell r="D2978" t="str">
            <v xml:space="preserve">  P.504.            </v>
          </cell>
          <cell r="E2978" t="str">
            <v>CP5010</v>
          </cell>
          <cell r="F2978" t="str">
            <v>16.14.18.</v>
          </cell>
          <cell r="G2978" t="str">
            <v xml:space="preserve">Cabo cobre, tempera mole, EPR, 90oc, 0,6/1kV Pirelli Afumex ou equivalente 1x2(1,5mm)  </v>
          </cell>
          <cell r="H2978" t="str">
            <v xml:space="preserve">m     </v>
          </cell>
          <cell r="I2978">
            <v>45</v>
          </cell>
          <cell r="J2978">
            <v>3.51</v>
          </cell>
          <cell r="K2978">
            <v>3.67</v>
          </cell>
          <cell r="L2978">
            <v>157.94999999999999</v>
          </cell>
        </row>
        <row r="2979">
          <cell r="D2979" t="str">
            <v xml:space="preserve">  P.505.            </v>
          </cell>
          <cell r="E2979" t="str">
            <v>CP5025</v>
          </cell>
          <cell r="F2979" t="str">
            <v>16.14.19.</v>
          </cell>
          <cell r="G2979" t="str">
            <v xml:space="preserve">Cabo cobre, tempera mole, EPR, 90oc, 0,6/1kV Pirelli Afumex ou equivalente 1x3(1,5mm)  </v>
          </cell>
          <cell r="H2979" t="str">
            <v xml:space="preserve">m     </v>
          </cell>
          <cell r="I2979">
            <v>397</v>
          </cell>
          <cell r="J2979">
            <v>4.5199999999999996</v>
          </cell>
          <cell r="K2979">
            <v>4.18</v>
          </cell>
          <cell r="L2979">
            <v>1794.44</v>
          </cell>
        </row>
        <row r="2980">
          <cell r="D2980" t="str">
            <v xml:space="preserve">  P.506.            </v>
          </cell>
          <cell r="E2980" t="str">
            <v>CP5029</v>
          </cell>
          <cell r="F2980" t="str">
            <v>16.14.20.</v>
          </cell>
          <cell r="G2980" t="str">
            <v xml:space="preserve">Cabo cobre, tempera mole, EPR, 90oc, 0,6/1kV Pirelli Afumex ou equivalente 1x4(1,5mm)  </v>
          </cell>
          <cell r="H2980" t="str">
            <v xml:space="preserve">m     </v>
          </cell>
          <cell r="I2980">
            <v>3366</v>
          </cell>
          <cell r="J2980">
            <v>5.53</v>
          </cell>
          <cell r="K2980">
            <v>4.7699999999999996</v>
          </cell>
          <cell r="L2980">
            <v>18613.98</v>
          </cell>
        </row>
        <row r="2981">
          <cell r="D2981" t="str">
            <v xml:space="preserve">  P.507.            </v>
          </cell>
          <cell r="E2981" t="str">
            <v>CP5036</v>
          </cell>
          <cell r="F2981" t="str">
            <v>16.14.21.</v>
          </cell>
          <cell r="G2981" t="str">
            <v xml:space="preserve">Cabo cobre, tempera mole, EPR, 90oc, 0,6/1kV Pirelli Afumex ou equivalente 1x8(1,5mm)  </v>
          </cell>
          <cell r="H2981" t="str">
            <v xml:space="preserve">m     </v>
          </cell>
          <cell r="I2981">
            <v>535</v>
          </cell>
          <cell r="J2981">
            <v>8.02</v>
          </cell>
          <cell r="K2981">
            <v>9.14</v>
          </cell>
          <cell r="L2981">
            <v>4290.7</v>
          </cell>
        </row>
        <row r="2982">
          <cell r="D2982" t="str">
            <v xml:space="preserve">  P.508.            </v>
          </cell>
          <cell r="E2982" t="str">
            <v>CP5023</v>
          </cell>
          <cell r="F2982" t="str">
            <v>16.14.22.</v>
          </cell>
          <cell r="G2982" t="str">
            <v xml:space="preserve">Cabo cobre, tempera mole, EPR, 90oc, 0,6/1kV Pirelli Afumex ou equivalente 1x12(1,5mm)  </v>
          </cell>
          <cell r="H2982" t="str">
            <v xml:space="preserve">m     </v>
          </cell>
          <cell r="I2982">
            <v>648</v>
          </cell>
          <cell r="J2982">
            <v>11.42</v>
          </cell>
          <cell r="K2982">
            <v>12.42</v>
          </cell>
          <cell r="L2982">
            <v>7400.16</v>
          </cell>
        </row>
        <row r="2983">
          <cell r="D2983" t="str">
            <v xml:space="preserve">  P.509.            </v>
          </cell>
          <cell r="E2983" t="str">
            <v>CP5013</v>
          </cell>
          <cell r="F2983" t="str">
            <v>16.14.23.</v>
          </cell>
          <cell r="G2983" t="str">
            <v xml:space="preserve">Cabo cobre, tempera mole, EPR, 90oc, 0,6/1kV Pirelli Afumex ou equivalente Coaxial  </v>
          </cell>
          <cell r="H2983" t="str">
            <v xml:space="preserve">m     </v>
          </cell>
          <cell r="I2983">
            <v>250</v>
          </cell>
          <cell r="J2983">
            <v>4.28</v>
          </cell>
          <cell r="K2983">
            <v>3.59</v>
          </cell>
          <cell r="L2983">
            <v>1070</v>
          </cell>
        </row>
        <row r="2984">
          <cell r="D2984" t="str">
            <v xml:space="preserve">  P.510.            </v>
          </cell>
          <cell r="E2984" t="str">
            <v>CP5026</v>
          </cell>
          <cell r="F2984" t="str">
            <v>16.14.24.</v>
          </cell>
          <cell r="G2984" t="str">
            <v xml:space="preserve">Cabo cobre, tempera mole, EPR, 90oc, 0,6/1kV Pirelli Afumex ou equivalente 1x3(1,5mm) Blindado  </v>
          </cell>
          <cell r="H2984" t="str">
            <v xml:space="preserve">m     </v>
          </cell>
          <cell r="I2984">
            <v>265</v>
          </cell>
          <cell r="J2984">
            <v>10.62</v>
          </cell>
          <cell r="K2984">
            <v>8.91</v>
          </cell>
          <cell r="L2984">
            <v>2814.3</v>
          </cell>
        </row>
        <row r="2985">
          <cell r="D2985" t="str">
            <v xml:space="preserve">  P.511.            </v>
          </cell>
          <cell r="E2985" t="str">
            <v>CP5024</v>
          </cell>
          <cell r="F2985" t="str">
            <v>16.14.25.</v>
          </cell>
          <cell r="G2985" t="str">
            <v xml:space="preserve">Cabo cobre, tempera mole, EPR, 90oc, 0,6/1kV Pirelli Afumex ou equivalente 1x2(1,5mm) Blindado  </v>
          </cell>
          <cell r="H2985" t="str">
            <v xml:space="preserve">m     </v>
          </cell>
          <cell r="I2985">
            <v>834</v>
          </cell>
          <cell r="J2985">
            <v>9.65</v>
          </cell>
          <cell r="K2985">
            <v>8.0399999999999991</v>
          </cell>
          <cell r="L2985">
            <v>8048.1</v>
          </cell>
        </row>
        <row r="2986">
          <cell r="D2986" t="str">
            <v xml:space="preserve">  P.512.            </v>
          </cell>
          <cell r="E2986" t="str">
            <v>CP5012</v>
          </cell>
          <cell r="F2986" t="str">
            <v>16.14.26.</v>
          </cell>
          <cell r="G2986" t="str">
            <v xml:space="preserve">Cabo cobre, tempera mole, EPR, 90oc, 0,6/1kV Pirelli Afumex ou equivalente 2x(1x2)(1, 5mm) Blindado  </v>
          </cell>
          <cell r="H2986" t="str">
            <v xml:space="preserve">m     </v>
          </cell>
          <cell r="I2986">
            <v>177</v>
          </cell>
          <cell r="J2986">
            <v>11.82</v>
          </cell>
          <cell r="K2986">
            <v>11.4</v>
          </cell>
          <cell r="L2986">
            <v>2092.14</v>
          </cell>
        </row>
        <row r="2987">
          <cell r="D2987" t="str">
            <v xml:space="preserve">  P.513.            </v>
          </cell>
          <cell r="E2987" t="str">
            <v xml:space="preserve">      </v>
          </cell>
          <cell r="F2987" t="str">
            <v>16.14.27.</v>
          </cell>
          <cell r="G2987" t="str">
            <v xml:space="preserve">Perfil  </v>
          </cell>
          <cell r="H2987" t="str">
            <v xml:space="preserve">      </v>
          </cell>
          <cell r="I2987">
            <v>0</v>
          </cell>
          <cell r="J2987">
            <v>0</v>
          </cell>
          <cell r="K2987">
            <v>0</v>
          </cell>
          <cell r="L2987">
            <v>0</v>
          </cell>
        </row>
        <row r="2988">
          <cell r="D2988" t="str">
            <v xml:space="preserve">  P.514.            </v>
          </cell>
          <cell r="E2988" t="str">
            <v>CP1778</v>
          </cell>
          <cell r="F2988" t="str">
            <v>16.14.28.</v>
          </cell>
          <cell r="G2988" t="str">
            <v xml:space="preserve">Perfil perfurada, tipo u, 38x38mm, chapa #16msg, galvanizado eletroliticamente, peça de 6000 mm  </v>
          </cell>
          <cell r="H2988" t="str">
            <v xml:space="preserve">pc    </v>
          </cell>
          <cell r="I2988">
            <v>21</v>
          </cell>
          <cell r="J2988">
            <v>115.53</v>
          </cell>
          <cell r="K2988">
            <v>143.54</v>
          </cell>
          <cell r="L2988">
            <v>2426.13</v>
          </cell>
        </row>
        <row r="2989">
          <cell r="D2989" t="str">
            <v xml:space="preserve">  P.515.            </v>
          </cell>
          <cell r="E2989" t="str">
            <v>CP2085</v>
          </cell>
          <cell r="F2989" t="str">
            <v>16.14.29.</v>
          </cell>
          <cell r="G2989" t="str">
            <v xml:space="preserve">Perfil Conexão tipo cotovelo 90o  </v>
          </cell>
          <cell r="H2989" t="str">
            <v xml:space="preserve">pc    </v>
          </cell>
          <cell r="I2989">
            <v>2</v>
          </cell>
          <cell r="J2989">
            <v>6.8</v>
          </cell>
          <cell r="K2989">
            <v>9.7200000000000006</v>
          </cell>
          <cell r="L2989">
            <v>13.6</v>
          </cell>
        </row>
        <row r="2990">
          <cell r="D2990" t="str">
            <v xml:space="preserve">  P.516.            </v>
          </cell>
          <cell r="E2990" t="str">
            <v>CP3013</v>
          </cell>
          <cell r="F2990" t="str">
            <v>16.14.30.</v>
          </cell>
          <cell r="G2990" t="str">
            <v xml:space="preserve">Perfil Conexão tipo tê 90o  </v>
          </cell>
          <cell r="H2990" t="str">
            <v xml:space="preserve">pc    </v>
          </cell>
          <cell r="I2990">
            <v>1</v>
          </cell>
          <cell r="J2990">
            <v>14.46</v>
          </cell>
          <cell r="K2990">
            <v>13.17</v>
          </cell>
          <cell r="L2990">
            <v>14.46</v>
          </cell>
        </row>
        <row r="2991">
          <cell r="D2991" t="str">
            <v xml:space="preserve">  P.517.            </v>
          </cell>
          <cell r="E2991" t="str">
            <v>CP2153</v>
          </cell>
          <cell r="F2991" t="str">
            <v>16.14.31.</v>
          </cell>
          <cell r="G2991" t="str">
            <v xml:space="preserve">Perfil Junção simples  </v>
          </cell>
          <cell r="H2991" t="str">
            <v xml:space="preserve">pc    </v>
          </cell>
          <cell r="I2991">
            <v>24</v>
          </cell>
          <cell r="J2991">
            <v>8.66</v>
          </cell>
          <cell r="K2991">
            <v>7.26</v>
          </cell>
          <cell r="L2991">
            <v>207.84</v>
          </cell>
        </row>
        <row r="2992">
          <cell r="D2992" t="str">
            <v xml:space="preserve">  P.518.            </v>
          </cell>
          <cell r="E2992" t="str">
            <v>CP2201</v>
          </cell>
          <cell r="F2992" t="str">
            <v>16.14.32.</v>
          </cell>
          <cell r="G2992" t="str">
            <v xml:space="preserve">Perfil Chumbador 1/4  </v>
          </cell>
          <cell r="H2992" t="str">
            <v xml:space="preserve">pc    </v>
          </cell>
          <cell r="I2992">
            <v>66</v>
          </cell>
          <cell r="J2992">
            <v>4.6399999999999997</v>
          </cell>
          <cell r="K2992">
            <v>5.5</v>
          </cell>
          <cell r="L2992">
            <v>306.24</v>
          </cell>
        </row>
        <row r="2993">
          <cell r="D2993" t="str">
            <v xml:space="preserve">  P.519.            </v>
          </cell>
          <cell r="E2993" t="str">
            <v>CP2110</v>
          </cell>
          <cell r="F2993" t="str">
            <v>16.14.33.</v>
          </cell>
          <cell r="G2993" t="str">
            <v xml:space="preserve">Perfil Tirante de aço - rosca NC total 1/4  </v>
          </cell>
          <cell r="H2993" t="str">
            <v xml:space="preserve">pc    </v>
          </cell>
          <cell r="I2993">
            <v>53</v>
          </cell>
          <cell r="J2993">
            <v>17.93</v>
          </cell>
          <cell r="K2993">
            <v>19.96</v>
          </cell>
          <cell r="L2993">
            <v>950.29</v>
          </cell>
        </row>
        <row r="2994">
          <cell r="D2994" t="str">
            <v xml:space="preserve">  P.520.            </v>
          </cell>
          <cell r="E2994" t="str">
            <v>CP2330</v>
          </cell>
          <cell r="F2994" t="str">
            <v>16.14.34.</v>
          </cell>
          <cell r="G2994" t="str">
            <v xml:space="preserve">Perfil Porca sextavada 1/4  </v>
          </cell>
          <cell r="H2994" t="str">
            <v xml:space="preserve">pc    </v>
          </cell>
          <cell r="I2994">
            <v>198</v>
          </cell>
          <cell r="J2994">
            <v>0.92</v>
          </cell>
          <cell r="K2994">
            <v>1.22</v>
          </cell>
          <cell r="L2994">
            <v>182.16</v>
          </cell>
        </row>
        <row r="2995">
          <cell r="D2995" t="str">
            <v xml:space="preserve">  P.521.            </v>
          </cell>
          <cell r="E2995" t="str">
            <v>CP2125</v>
          </cell>
          <cell r="F2995" t="str">
            <v>16.14.35.</v>
          </cell>
          <cell r="G2995" t="str">
            <v xml:space="preserve">Perfil Suspenção para perfil 38x38 mm  </v>
          </cell>
          <cell r="H2995" t="str">
            <v xml:space="preserve">pc    </v>
          </cell>
          <cell r="I2995">
            <v>66</v>
          </cell>
          <cell r="J2995">
            <v>8.7799999999999994</v>
          </cell>
          <cell r="K2995">
            <v>7.35</v>
          </cell>
          <cell r="L2995">
            <v>579.48</v>
          </cell>
        </row>
        <row r="2996">
          <cell r="D2996" t="str">
            <v xml:space="preserve">  P.522.            </v>
          </cell>
          <cell r="E2996" t="str">
            <v>CP1836</v>
          </cell>
          <cell r="F2996" t="str">
            <v>16.14.36.</v>
          </cell>
          <cell r="G2996" t="str">
            <v xml:space="preserve">Perfil Caixa com 1 tomada 2P (pino redondo) para inst. perfil 38x38 mm  </v>
          </cell>
          <cell r="H2996" t="str">
            <v xml:space="preserve">pc    </v>
          </cell>
          <cell r="I2996">
            <v>39</v>
          </cell>
          <cell r="J2996">
            <v>15.33</v>
          </cell>
          <cell r="K2996">
            <v>12.81</v>
          </cell>
          <cell r="L2996">
            <v>597.87</v>
          </cell>
        </row>
        <row r="2997">
          <cell r="D2997" t="str">
            <v xml:space="preserve">  P.523.            </v>
          </cell>
          <cell r="E2997" t="str">
            <v xml:space="preserve">      </v>
          </cell>
          <cell r="F2997" t="str">
            <v>16.14.37.</v>
          </cell>
          <cell r="G2997" t="str">
            <v xml:space="preserve">Conduletes  </v>
          </cell>
          <cell r="H2997" t="str">
            <v xml:space="preserve">      </v>
          </cell>
          <cell r="I2997">
            <v>0</v>
          </cell>
          <cell r="J2997">
            <v>0</v>
          </cell>
          <cell r="K2997">
            <v>0</v>
          </cell>
          <cell r="L2997">
            <v>0</v>
          </cell>
        </row>
        <row r="2998">
          <cell r="D2998" t="str">
            <v xml:space="preserve">  P.524.            </v>
          </cell>
          <cell r="E2998" t="str">
            <v xml:space="preserve">      </v>
          </cell>
          <cell r="F2998" t="str">
            <v>16.14.38.</v>
          </cell>
          <cell r="G2998" t="str">
            <v xml:space="preserve">Condulete em liga de alumínio fundido a prova de tempo, umidade, gases, vapores e pó - com Junta de vedação em neoprene rosca bsb (gás) conforme norma ANSI b-2.1  </v>
          </cell>
          <cell r="H2998" t="str">
            <v xml:space="preserve">      </v>
          </cell>
          <cell r="I2998">
            <v>0</v>
          </cell>
          <cell r="J2998">
            <v>0</v>
          </cell>
          <cell r="K2998">
            <v>0</v>
          </cell>
          <cell r="L2998">
            <v>0</v>
          </cell>
        </row>
        <row r="2999">
          <cell r="D2999" t="str">
            <v xml:space="preserve">  P.525.            </v>
          </cell>
          <cell r="E2999" t="str">
            <v>CP1952</v>
          </cell>
          <cell r="F2999" t="str">
            <v>16.14.39.</v>
          </cell>
          <cell r="G2999" t="str">
            <v xml:space="preserve">Condulete em liga de alumínio fundido a prova de tempo, umidade, gases, vapores e pó - com Junta de vedação em neoprene rosca bsb (gás) conforme norma ANSI b-2.1 Ø (3/4) 20 mm  </v>
          </cell>
          <cell r="H2999" t="str">
            <v xml:space="preserve">pc    </v>
          </cell>
          <cell r="I2999">
            <v>13</v>
          </cell>
          <cell r="J2999">
            <v>17.41</v>
          </cell>
          <cell r="K2999">
            <v>14.51</v>
          </cell>
          <cell r="L2999">
            <v>226.33</v>
          </cell>
        </row>
        <row r="3000">
          <cell r="D3000" t="str">
            <v xml:space="preserve">  P.526.            </v>
          </cell>
          <cell r="E3000" t="str">
            <v>CP1888</v>
          </cell>
          <cell r="F3000" t="str">
            <v>16.14.40.</v>
          </cell>
          <cell r="G3000" t="str">
            <v xml:space="preserve">Condulete em liga de alumínio fundido a prova de tempo, umidade, gases, vapores e pó - com Junta de vedação em neoprene rosca bsb (gás) conforme norma ANSI b-2.1 Ø (1) 25 mm  </v>
          </cell>
          <cell r="H3000" t="str">
            <v xml:space="preserve">pc    </v>
          </cell>
          <cell r="I3000">
            <v>2</v>
          </cell>
          <cell r="J3000">
            <v>21.78</v>
          </cell>
          <cell r="K3000">
            <v>18.2</v>
          </cell>
          <cell r="L3000">
            <v>43.56</v>
          </cell>
        </row>
        <row r="3001">
          <cell r="D3001" t="str">
            <v xml:space="preserve">  P.527.            </v>
          </cell>
          <cell r="E3001" t="str">
            <v>CP1874</v>
          </cell>
          <cell r="F3001" t="str">
            <v>16.14.41.</v>
          </cell>
          <cell r="G3001" t="str">
            <v xml:space="preserve">Interruptor em condulete 20 mm Tipo simples 03 teclas  </v>
          </cell>
          <cell r="H3001" t="str">
            <v xml:space="preserve">pc    </v>
          </cell>
          <cell r="I3001">
            <v>3</v>
          </cell>
          <cell r="J3001">
            <v>32.28</v>
          </cell>
          <cell r="K3001">
            <v>27.04</v>
          </cell>
          <cell r="L3001">
            <v>96.84</v>
          </cell>
        </row>
        <row r="3002">
          <cell r="D3002" t="str">
            <v xml:space="preserve">  P.528.            </v>
          </cell>
          <cell r="E3002" t="str">
            <v xml:space="preserve">      </v>
          </cell>
          <cell r="F3002" t="str">
            <v>16.14.42.</v>
          </cell>
          <cell r="G3002" t="str">
            <v xml:space="preserve">Tomadas em condulete 20 mm  </v>
          </cell>
          <cell r="H3002" t="str">
            <v xml:space="preserve">      </v>
          </cell>
          <cell r="I3002">
            <v>0</v>
          </cell>
          <cell r="J3002">
            <v>0</v>
          </cell>
          <cell r="K3002">
            <v>0</v>
          </cell>
          <cell r="L3002">
            <v>0</v>
          </cell>
        </row>
        <row r="3003">
          <cell r="D3003" t="str">
            <v xml:space="preserve">  P.529.            </v>
          </cell>
          <cell r="E3003" t="str">
            <v>CP1857</v>
          </cell>
          <cell r="F3003" t="str">
            <v>16.14.43.</v>
          </cell>
          <cell r="G3003" t="str">
            <v xml:space="preserve">Tomadas em condulete 20 mm Tipo 2p+t (pino redondo, tipo universal)  </v>
          </cell>
          <cell r="H3003" t="str">
            <v xml:space="preserve">pc    </v>
          </cell>
          <cell r="I3003">
            <v>8</v>
          </cell>
          <cell r="J3003">
            <v>17.559999999999999</v>
          </cell>
          <cell r="K3003">
            <v>14.75</v>
          </cell>
          <cell r="L3003">
            <v>140.47999999999999</v>
          </cell>
        </row>
        <row r="3004">
          <cell r="D3004" t="str">
            <v xml:space="preserve">  P.530.            </v>
          </cell>
          <cell r="E3004" t="str">
            <v>CP1724</v>
          </cell>
          <cell r="F3004" t="str">
            <v>16.14.44.</v>
          </cell>
          <cell r="G3004" t="str">
            <v xml:space="preserve">Tomadas em condulete 20 mm Tomada tetrapolar, 50 A, Steck ou similar  </v>
          </cell>
          <cell r="H3004" t="str">
            <v xml:space="preserve">un    </v>
          </cell>
          <cell r="I3004">
            <v>2</v>
          </cell>
          <cell r="J3004">
            <v>62.56</v>
          </cell>
          <cell r="K3004">
            <v>52.2</v>
          </cell>
          <cell r="L3004">
            <v>125.12</v>
          </cell>
        </row>
        <row r="3005">
          <cell r="D3005" t="str">
            <v xml:space="preserve">  P.531.            </v>
          </cell>
          <cell r="E3005" t="str">
            <v xml:space="preserve">      </v>
          </cell>
          <cell r="F3005" t="str">
            <v>16.14.45.</v>
          </cell>
          <cell r="G3005" t="str">
            <v xml:space="preserve">Luminárias  </v>
          </cell>
          <cell r="H3005" t="str">
            <v xml:space="preserve">      </v>
          </cell>
          <cell r="I3005">
            <v>0</v>
          </cell>
          <cell r="J3005">
            <v>0</v>
          </cell>
          <cell r="K3005">
            <v>0</v>
          </cell>
          <cell r="L3005">
            <v>0</v>
          </cell>
        </row>
        <row r="3006">
          <cell r="D3006" t="str">
            <v xml:space="preserve">  P.532.            </v>
          </cell>
          <cell r="E3006" t="str">
            <v>CP1651</v>
          </cell>
          <cell r="F3006" t="str">
            <v>16.14.46.</v>
          </cell>
          <cell r="G3006" t="str">
            <v>Luminária 2X32W, de sobrepor, corpo em chapa de aço tratada e pintura eletrostática branca. Refletor em chapa de alumínio anodizado brilhante, de alta pureza e reator eletrônico, de alto fator de potência, alojado na cabeceira e acompanhado de lâmpadas, a</v>
          </cell>
          <cell r="H3006" t="str">
            <v xml:space="preserve">pc    </v>
          </cell>
          <cell r="I3006">
            <v>39</v>
          </cell>
          <cell r="J3006">
            <v>104.77</v>
          </cell>
          <cell r="K3006">
            <v>87.99</v>
          </cell>
          <cell r="L3006">
            <v>4086.03</v>
          </cell>
        </row>
        <row r="3007">
          <cell r="D3007" t="str">
            <v xml:space="preserve">  P.533.            </v>
          </cell>
          <cell r="E3007" t="str">
            <v xml:space="preserve">      </v>
          </cell>
          <cell r="F3007" t="str">
            <v>16.14.47.</v>
          </cell>
          <cell r="G3007" t="str">
            <v xml:space="preserve">Outros  </v>
          </cell>
          <cell r="H3007" t="str">
            <v xml:space="preserve">      </v>
          </cell>
          <cell r="I3007">
            <v>0</v>
          </cell>
          <cell r="J3007">
            <v>0</v>
          </cell>
          <cell r="K3007">
            <v>0</v>
          </cell>
          <cell r="L3007">
            <v>0</v>
          </cell>
        </row>
        <row r="3008">
          <cell r="D3008" t="str">
            <v xml:space="preserve">  P.534.            </v>
          </cell>
          <cell r="E3008" t="str">
            <v>CP2351</v>
          </cell>
          <cell r="F3008" t="str">
            <v>16.14.48.</v>
          </cell>
          <cell r="G3008" t="str">
            <v xml:space="preserve">Acessórios (lamina de serra, saída para eletroduto de perfil, anilhas, arame guia 16 awg, fita isolante, etc)  </v>
          </cell>
          <cell r="H3008" t="str">
            <v xml:space="preserve">un    </v>
          </cell>
          <cell r="I3008">
            <v>1</v>
          </cell>
          <cell r="J3008">
            <v>328.85</v>
          </cell>
          <cell r="K3008">
            <v>274.83</v>
          </cell>
          <cell r="L3008">
            <v>328.85</v>
          </cell>
        </row>
        <row r="3009">
          <cell r="D3009" t="str">
            <v xml:space="preserve">  P.535.            </v>
          </cell>
          <cell r="E3009" t="str">
            <v xml:space="preserve">      </v>
          </cell>
          <cell r="F3009" t="str">
            <v>16.15.</v>
          </cell>
          <cell r="G3009" t="str">
            <v xml:space="preserve">Inspeção em equipamentos  </v>
          </cell>
          <cell r="H3009" t="str">
            <v xml:space="preserve">      </v>
          </cell>
          <cell r="I3009">
            <v>0</v>
          </cell>
          <cell r="J3009">
            <v>0</v>
          </cell>
          <cell r="K3009">
            <v>0</v>
          </cell>
          <cell r="L3009">
            <v>0</v>
          </cell>
        </row>
        <row r="3010">
          <cell r="D3010" t="str">
            <v xml:space="preserve">  P.536.            </v>
          </cell>
          <cell r="E3010" t="str">
            <v>CP1616</v>
          </cell>
          <cell r="F3010" t="str">
            <v>16.15.1.</v>
          </cell>
          <cell r="G3010" t="str">
            <v xml:space="preserve">Diária (hospedagem, alimentação e transporte  </v>
          </cell>
          <cell r="H3010" t="str">
            <v xml:space="preserve">un    </v>
          </cell>
          <cell r="I3010">
            <v>2</v>
          </cell>
          <cell r="J3010">
            <v>324.45</v>
          </cell>
          <cell r="K3010">
            <v>272.48</v>
          </cell>
          <cell r="L3010">
            <v>648.9</v>
          </cell>
        </row>
        <row r="3011">
          <cell r="D3011" t="str">
            <v xml:space="preserve">  P.537.            </v>
          </cell>
          <cell r="E3011" t="str">
            <v>CP1473</v>
          </cell>
          <cell r="F3011" t="str">
            <v>16.15.2.</v>
          </cell>
          <cell r="G3011" t="str">
            <v xml:space="preserve">Passagem aérea (referência: Brasília-São Paulo-Brasília)  </v>
          </cell>
          <cell r="H3011" t="str">
            <v xml:space="preserve">un    </v>
          </cell>
          <cell r="I3011">
            <v>2</v>
          </cell>
          <cell r="J3011">
            <v>795.82</v>
          </cell>
          <cell r="K3011">
            <v>664.3</v>
          </cell>
          <cell r="L3011">
            <v>1591.64</v>
          </cell>
        </row>
        <row r="3012">
          <cell r="D3012" t="str">
            <v xml:space="preserve">  P.538.            </v>
          </cell>
          <cell r="E3012" t="str">
            <v xml:space="preserve">      </v>
          </cell>
          <cell r="F3012" t="str">
            <v>16.15.3.</v>
          </cell>
          <cell r="G3012" t="str">
            <v xml:space="preserve">Outros  </v>
          </cell>
          <cell r="H3012" t="str">
            <v xml:space="preserve">      </v>
          </cell>
          <cell r="I3012">
            <v>0</v>
          </cell>
          <cell r="J3012">
            <v>0</v>
          </cell>
          <cell r="K3012">
            <v>0</v>
          </cell>
          <cell r="L3012">
            <v>0</v>
          </cell>
        </row>
        <row r="3013">
          <cell r="D3013" t="str">
            <v xml:space="preserve">  P.539.            </v>
          </cell>
          <cell r="E3013" t="str">
            <v xml:space="preserve">      </v>
          </cell>
          <cell r="F3013" t="str">
            <v>16.15.4.</v>
          </cell>
          <cell r="G3013" t="str">
            <v xml:space="preserve">Inspeção em Equipamentos  </v>
          </cell>
          <cell r="H3013" t="str">
            <v xml:space="preserve">      </v>
          </cell>
          <cell r="I3013">
            <v>0</v>
          </cell>
          <cell r="J3013">
            <v>0</v>
          </cell>
          <cell r="K3013">
            <v>0</v>
          </cell>
          <cell r="L3013">
            <v>0</v>
          </cell>
        </row>
        <row r="3014">
          <cell r="D3014" t="str">
            <v xml:space="preserve">  P.540.            </v>
          </cell>
          <cell r="E3014" t="str">
            <v>CP1473</v>
          </cell>
          <cell r="F3014" t="str">
            <v>16.15.5.</v>
          </cell>
          <cell r="G3014" t="str">
            <v xml:space="preserve">Passagem aérea (referência: Brasília-São Paulo-Brasília)  </v>
          </cell>
          <cell r="H3014" t="str">
            <v xml:space="preserve">un    </v>
          </cell>
          <cell r="I3014">
            <v>1</v>
          </cell>
          <cell r="J3014">
            <v>795.82</v>
          </cell>
          <cell r="K3014">
            <v>664.3</v>
          </cell>
          <cell r="L3014">
            <v>795.82</v>
          </cell>
        </row>
        <row r="3015">
          <cell r="D3015" t="str">
            <v xml:space="preserve">  P.541.            </v>
          </cell>
          <cell r="E3015" t="str">
            <v>CP1616</v>
          </cell>
          <cell r="F3015" t="str">
            <v>16.15.6.</v>
          </cell>
          <cell r="G3015" t="str">
            <v xml:space="preserve">Diária (hospedagem, alimentação e transporte)  </v>
          </cell>
          <cell r="H3015" t="str">
            <v xml:space="preserve">un    </v>
          </cell>
          <cell r="I3015">
            <v>1</v>
          </cell>
          <cell r="J3015">
            <v>324.45</v>
          </cell>
          <cell r="K3015">
            <v>272.48</v>
          </cell>
          <cell r="L3015">
            <v>324.45</v>
          </cell>
        </row>
        <row r="3016">
          <cell r="D3016" t="str">
            <v xml:space="preserve">  P.542.            </v>
          </cell>
          <cell r="E3016" t="str">
            <v>CP1289</v>
          </cell>
          <cell r="F3016" t="str">
            <v>16.15.7.</v>
          </cell>
          <cell r="G3016" t="str">
            <v xml:space="preserve">Mobiliário, conforme especificações do memorial descritivo  </v>
          </cell>
          <cell r="H3016" t="str">
            <v xml:space="preserve">un    </v>
          </cell>
          <cell r="I3016">
            <v>1</v>
          </cell>
          <cell r="J3016">
            <v>1878.03</v>
          </cell>
          <cell r="K3016">
            <v>1572</v>
          </cell>
          <cell r="L3016">
            <v>1878.03</v>
          </cell>
        </row>
        <row r="3017">
          <cell r="D3017" t="str">
            <v xml:space="preserve">  P.543.            </v>
          </cell>
          <cell r="E3017" t="str">
            <v xml:space="preserve">      </v>
          </cell>
          <cell r="F3017" t="str">
            <v>16.15.8.</v>
          </cell>
          <cell r="G3017" t="str">
            <v xml:space="preserve">Treinamentos (incluindo despezas com transporte, estadia, alimentação e deslocamentos)  </v>
          </cell>
          <cell r="H3017" t="str">
            <v xml:space="preserve">      </v>
          </cell>
          <cell r="I3017">
            <v>0</v>
          </cell>
          <cell r="J3017">
            <v>0</v>
          </cell>
          <cell r="K3017">
            <v>0</v>
          </cell>
          <cell r="L3017">
            <v>0</v>
          </cell>
        </row>
        <row r="3018">
          <cell r="D3018" t="str">
            <v xml:space="preserve">  P.544.            </v>
          </cell>
          <cell r="E3018" t="str">
            <v>CP1290</v>
          </cell>
          <cell r="F3018" t="str">
            <v>16.15.9.</v>
          </cell>
          <cell r="G3018" t="str">
            <v xml:space="preserve">Treinamento de Operação (10 pessoas, 20 hs-aula/turma)  </v>
          </cell>
          <cell r="H3018" t="str">
            <v xml:space="preserve">un    </v>
          </cell>
          <cell r="I3018">
            <v>1</v>
          </cell>
          <cell r="J3018">
            <v>16429.27</v>
          </cell>
          <cell r="K3018">
            <v>13746.35</v>
          </cell>
          <cell r="L3018">
            <v>16429.27</v>
          </cell>
        </row>
        <row r="3019">
          <cell r="D3019" t="str">
            <v xml:space="preserve">  P.545.            </v>
          </cell>
          <cell r="E3019" t="str">
            <v>CP1277</v>
          </cell>
          <cell r="F3019" t="str">
            <v>16.15.10.</v>
          </cell>
          <cell r="G3019" t="str">
            <v xml:space="preserve">Treinamento Programação e Configuração CLP (3 pessoas, 40 hs-aula)  </v>
          </cell>
          <cell r="H3019" t="str">
            <v xml:space="preserve">un    </v>
          </cell>
          <cell r="I3019">
            <v>1</v>
          </cell>
          <cell r="J3019">
            <v>27140.43</v>
          </cell>
          <cell r="K3019">
            <v>22765.57</v>
          </cell>
          <cell r="L3019">
            <v>27140.43</v>
          </cell>
        </row>
        <row r="3020">
          <cell r="D3020" t="str">
            <v xml:space="preserve">  P.546.            </v>
          </cell>
          <cell r="E3020" t="str">
            <v>CP1302</v>
          </cell>
          <cell r="F3020" t="str">
            <v>16.15.11.</v>
          </cell>
          <cell r="G3020" t="str">
            <v xml:space="preserve">Treinamento Manutenção CLP e racks remotos (24 hs, 10 pessoas)  </v>
          </cell>
          <cell r="H3020" t="str">
            <v xml:space="preserve">un    </v>
          </cell>
          <cell r="I3020">
            <v>1</v>
          </cell>
          <cell r="J3020">
            <v>31814.85</v>
          </cell>
          <cell r="K3020">
            <v>26536.06</v>
          </cell>
          <cell r="L3020">
            <v>31814.85</v>
          </cell>
        </row>
        <row r="3021">
          <cell r="D3021" t="str">
            <v xml:space="preserve">  P.547.            </v>
          </cell>
          <cell r="E3021" t="str">
            <v>CP1276</v>
          </cell>
          <cell r="F3021" t="str">
            <v>16.15.12.</v>
          </cell>
          <cell r="G3021" t="str">
            <v xml:space="preserve">Treinamento Configuração e Manutenção Supervisório (40hs, 5 pessoas)  </v>
          </cell>
          <cell r="H3021" t="str">
            <v xml:space="preserve">un    </v>
          </cell>
          <cell r="I3021">
            <v>1</v>
          </cell>
          <cell r="J3021">
            <v>33624.980000000003</v>
          </cell>
          <cell r="K3021">
            <v>28072.05</v>
          </cell>
          <cell r="L3021">
            <v>33624.980000000003</v>
          </cell>
        </row>
        <row r="3022">
          <cell r="D3022" t="str">
            <v xml:space="preserve">  P.548.            </v>
          </cell>
          <cell r="E3022" t="str">
            <v xml:space="preserve">      </v>
          </cell>
          <cell r="F3022" t="str">
            <v>16.15.13.</v>
          </cell>
          <cell r="G3022" t="str">
            <v xml:space="preserve">Outros  </v>
          </cell>
          <cell r="H3022" t="str">
            <v xml:space="preserve">      </v>
          </cell>
          <cell r="I3022">
            <v>0</v>
          </cell>
          <cell r="J3022">
            <v>0</v>
          </cell>
          <cell r="K3022">
            <v>0</v>
          </cell>
          <cell r="L3022">
            <v>0</v>
          </cell>
        </row>
        <row r="3023">
          <cell r="D3023" t="str">
            <v xml:space="preserve">  P.549.            </v>
          </cell>
          <cell r="E3023" t="str">
            <v xml:space="preserve">      </v>
          </cell>
          <cell r="F3023" t="str">
            <v>16.15.14.</v>
          </cell>
          <cell r="G3023" t="str">
            <v xml:space="preserve">Inspeção em equipamentos  </v>
          </cell>
          <cell r="H3023" t="str">
            <v xml:space="preserve">      </v>
          </cell>
          <cell r="I3023">
            <v>0</v>
          </cell>
          <cell r="J3023">
            <v>0</v>
          </cell>
          <cell r="K3023">
            <v>0</v>
          </cell>
          <cell r="L3023">
            <v>0</v>
          </cell>
        </row>
        <row r="3024">
          <cell r="D3024" t="str">
            <v xml:space="preserve">  P.550.            </v>
          </cell>
          <cell r="E3024" t="str">
            <v>CP1616</v>
          </cell>
          <cell r="F3024" t="str">
            <v>16.15.15.</v>
          </cell>
          <cell r="G3024" t="str">
            <v xml:space="preserve">Diária (hospedagem, alimentação e transporte)  </v>
          </cell>
          <cell r="H3024" t="str">
            <v xml:space="preserve">un    </v>
          </cell>
          <cell r="I3024">
            <v>6</v>
          </cell>
          <cell r="J3024">
            <v>324.45</v>
          </cell>
          <cell r="K3024">
            <v>272.48</v>
          </cell>
          <cell r="L3024">
            <v>1946.7</v>
          </cell>
        </row>
        <row r="3025">
          <cell r="D3025" t="str">
            <v xml:space="preserve">  P.551.            </v>
          </cell>
          <cell r="E3025" t="str">
            <v>CP1473</v>
          </cell>
          <cell r="F3025" t="str">
            <v>16.15.16.</v>
          </cell>
          <cell r="G3025" t="str">
            <v xml:space="preserve">Passagem aérea (referência: Brasília-São Paulo-Brasília)  </v>
          </cell>
          <cell r="H3025" t="str">
            <v xml:space="preserve">un    </v>
          </cell>
          <cell r="I3025">
            <v>6</v>
          </cell>
          <cell r="J3025">
            <v>795.82</v>
          </cell>
          <cell r="K3025">
            <v>664.3</v>
          </cell>
          <cell r="L3025">
            <v>4774.92</v>
          </cell>
        </row>
        <row r="3026">
          <cell r="D3026" t="str">
            <v xml:space="preserve">  Q.  0.            </v>
          </cell>
          <cell r="E3026" t="str">
            <v xml:space="preserve">      </v>
          </cell>
          <cell r="F3026" t="str">
            <v>0.XVI.I.</v>
          </cell>
          <cell r="G3026" t="str">
            <v xml:space="preserve">Instrumentação  </v>
          </cell>
          <cell r="H3026" t="str">
            <v xml:space="preserve">      </v>
          </cell>
          <cell r="I3026">
            <v>0</v>
          </cell>
          <cell r="J3026">
            <v>0</v>
          </cell>
          <cell r="K3026">
            <v>0</v>
          </cell>
          <cell r="L3026">
            <v>0</v>
          </cell>
        </row>
        <row r="3027">
          <cell r="D3027" t="str">
            <v xml:space="preserve">  Q.  1.            </v>
          </cell>
          <cell r="E3027" t="str">
            <v xml:space="preserve">      </v>
          </cell>
          <cell r="F3027" t="str">
            <v>1.</v>
          </cell>
          <cell r="G3027" t="str">
            <v xml:space="preserve">Analisadores de Turbidez - Fornecimento  </v>
          </cell>
          <cell r="H3027" t="str">
            <v xml:space="preserve">      </v>
          </cell>
          <cell r="I3027">
            <v>0</v>
          </cell>
          <cell r="J3027">
            <v>0</v>
          </cell>
          <cell r="K3027">
            <v>0</v>
          </cell>
          <cell r="L3027">
            <v>0</v>
          </cell>
        </row>
        <row r="3028">
          <cell r="D3028" t="str">
            <v xml:space="preserve">  Q.  2.            </v>
          </cell>
          <cell r="E3028" t="str">
            <v>CP1273</v>
          </cell>
          <cell r="F3028" t="str">
            <v>1.1.</v>
          </cell>
          <cell r="G3028" t="str">
            <v xml:space="preserve">Fornecimento de analisador de processo microprocessado de turbidez de água bruta, HACH Modelo 1720D,  220 V, Faixa de 0 a 100 NTU, composto por interface AquaTrend/SOM, conversor PS1201, sensor 1720D e 1,5 m de cabo, ou similar  </v>
          </cell>
          <cell r="H3028" t="str">
            <v xml:space="preserve">un    </v>
          </cell>
          <cell r="I3028">
            <v>1</v>
          </cell>
          <cell r="J3028">
            <v>25584.6</v>
          </cell>
          <cell r="K3028">
            <v>38053.97</v>
          </cell>
          <cell r="L3028">
            <v>25584.6</v>
          </cell>
        </row>
        <row r="3029">
          <cell r="D3029" t="str">
            <v xml:space="preserve">  Q.  3.            </v>
          </cell>
          <cell r="E3029" t="str">
            <v>CP1273</v>
          </cell>
          <cell r="F3029" t="str">
            <v>1.2.</v>
          </cell>
          <cell r="G3029" t="str">
            <v xml:space="preserve">Fornecimento de analisador de processo microprocessado de turbidez de água tratada, HACH Modelo 1720D,  220 V, Faixa de 0 a 100 NTU, composto por interface AquaTrend/SOM, conversor PS1201, sensor 1720D e 1,5 m de cabo, ou similar  </v>
          </cell>
          <cell r="H3029" t="str">
            <v xml:space="preserve">un    </v>
          </cell>
          <cell r="I3029">
            <v>1</v>
          </cell>
          <cell r="J3029">
            <v>25584.6</v>
          </cell>
          <cell r="K3029">
            <v>36549.43</v>
          </cell>
          <cell r="L3029">
            <v>25584.6</v>
          </cell>
        </row>
        <row r="3030">
          <cell r="D3030" t="str">
            <v xml:space="preserve">  Q.  4.            </v>
          </cell>
          <cell r="E3030" t="str">
            <v>CP1245</v>
          </cell>
          <cell r="F3030" t="str">
            <v>1.3.</v>
          </cell>
          <cell r="G3030" t="str">
            <v>Fornecimento de turbidímetro de processo microprocessado, modelo SS6,análise de forma contínua de turbidez de água de lavagem, marca Hach ou similar, Faixa de 0 a 10000 NTU,com resolução de 0,01 NTU ecalibrado com formazina. Possui leitura digital saída s</v>
          </cell>
          <cell r="H3030" t="str">
            <v xml:space="preserve">un    </v>
          </cell>
          <cell r="I3030">
            <v>1</v>
          </cell>
          <cell r="J3030">
            <v>51226.5</v>
          </cell>
          <cell r="K3030">
            <v>73180.72</v>
          </cell>
          <cell r="L3030">
            <v>51226.5</v>
          </cell>
        </row>
        <row r="3031">
          <cell r="D3031" t="str">
            <v xml:space="preserve">  Q.  5.            </v>
          </cell>
          <cell r="E3031" t="str">
            <v xml:space="preserve">      </v>
          </cell>
          <cell r="F3031" t="str">
            <v>1.4.</v>
          </cell>
          <cell r="G3031" t="str">
            <v xml:space="preserve">Fornecimento de analisador de processo microprocessado de turbidez de água filtrada  </v>
          </cell>
          <cell r="H3031" t="str">
            <v xml:space="preserve">      </v>
          </cell>
          <cell r="I3031">
            <v>0</v>
          </cell>
          <cell r="J3031">
            <v>0</v>
          </cell>
          <cell r="K3031">
            <v>0</v>
          </cell>
          <cell r="L3031">
            <v>0</v>
          </cell>
        </row>
        <row r="3032">
          <cell r="D3032" t="str">
            <v xml:space="preserve">  Q.  6.            </v>
          </cell>
          <cell r="E3032" t="str">
            <v>CP1273</v>
          </cell>
          <cell r="F3032" t="str">
            <v>1.4.1.</v>
          </cell>
          <cell r="G3032" t="str">
            <v xml:space="preserve">Turbidímetro de processo microprocessado, HACH Modelo 1720D,  220 V, Faixa de 0 a 100 NTU, composto por interface AquaTrend/SOM, conversor PS1201, sensor 1720D e 1,5 m de cabo, ou similar  </v>
          </cell>
          <cell r="H3032" t="str">
            <v xml:space="preserve">un    </v>
          </cell>
          <cell r="I3032">
            <v>3</v>
          </cell>
          <cell r="J3032">
            <v>25584.6</v>
          </cell>
          <cell r="K3032">
            <v>38053.97</v>
          </cell>
          <cell r="L3032">
            <v>76753.8</v>
          </cell>
        </row>
        <row r="3033">
          <cell r="D3033" t="str">
            <v xml:space="preserve">  Q.  7.            </v>
          </cell>
          <cell r="E3033" t="str">
            <v>CP1312</v>
          </cell>
          <cell r="F3033" t="str">
            <v>1.4.2.</v>
          </cell>
          <cell r="G3033" t="str">
            <v xml:space="preserve">Conjunto para ampliação da rede de turbidímetros, HACH 1720D, composto por um conversor de energia PS1201 e um sensor 1720D  </v>
          </cell>
          <cell r="H3033" t="str">
            <v xml:space="preserve">un    </v>
          </cell>
          <cell r="I3033">
            <v>21</v>
          </cell>
          <cell r="J3033">
            <v>15554.65</v>
          </cell>
          <cell r="K3033">
            <v>22220.93</v>
          </cell>
          <cell r="L3033">
            <v>326647.65000000002</v>
          </cell>
        </row>
        <row r="3034">
          <cell r="D3034" t="str">
            <v xml:space="preserve">  Q.  8.            </v>
          </cell>
          <cell r="E3034" t="str">
            <v>CP1383</v>
          </cell>
          <cell r="F3034" t="str">
            <v>1.4.3.</v>
          </cell>
          <cell r="G3034" t="str">
            <v xml:space="preserve">Módulo de saída de sinal para rede de turbidímetros HACH 1720D, com saída para dois relés e duas saídas 4-20 mA  </v>
          </cell>
          <cell r="H3034" t="str">
            <v xml:space="preserve">un    </v>
          </cell>
          <cell r="I3034">
            <v>9</v>
          </cell>
          <cell r="J3034">
            <v>7029.11</v>
          </cell>
          <cell r="K3034">
            <v>10041.59</v>
          </cell>
          <cell r="L3034">
            <v>63261.99</v>
          </cell>
        </row>
        <row r="3035">
          <cell r="D3035" t="str">
            <v xml:space="preserve">  Q.  9.            </v>
          </cell>
          <cell r="E3035" t="str">
            <v xml:space="preserve">      </v>
          </cell>
          <cell r="F3035" t="str">
            <v>2.</v>
          </cell>
          <cell r="G3035" t="str">
            <v xml:space="preserve">Analisadores de pH - Fornecimento  </v>
          </cell>
          <cell r="H3035" t="str">
            <v xml:space="preserve">      </v>
          </cell>
          <cell r="I3035">
            <v>0</v>
          </cell>
          <cell r="J3035">
            <v>0</v>
          </cell>
          <cell r="K3035">
            <v>0</v>
          </cell>
          <cell r="L3035">
            <v>0</v>
          </cell>
        </row>
        <row r="3036">
          <cell r="D3036" t="str">
            <v xml:space="preserve">  Q. 10.            </v>
          </cell>
          <cell r="E3036" t="str">
            <v>CP1313</v>
          </cell>
          <cell r="F3036" t="str">
            <v>2.1.</v>
          </cell>
          <cell r="G3036" t="str">
            <v xml:space="preserve">Fornecimento de analisador e controlador de processo microprocessado de pH, HACH Modelo EC310, 220 V, resolução 0,01pH, 2 saídas de 4-20 mA, leitura digital, composto de unidade controladora PID, eletrodo (sensor) cabo de 6,5 m para eletrodo, ou similar  </v>
          </cell>
          <cell r="H3036" t="str">
            <v xml:space="preserve">un    </v>
          </cell>
          <cell r="I3036">
            <v>3</v>
          </cell>
          <cell r="J3036">
            <v>17511.7</v>
          </cell>
          <cell r="K3036">
            <v>23131.23</v>
          </cell>
          <cell r="L3036">
            <v>52535.1</v>
          </cell>
        </row>
        <row r="3037">
          <cell r="D3037" t="str">
            <v xml:space="preserve">  Q. 11.            </v>
          </cell>
          <cell r="E3037" t="str">
            <v>CP1507</v>
          </cell>
          <cell r="F3037" t="str">
            <v>2.2.</v>
          </cell>
          <cell r="G3037" t="str">
            <v xml:space="preserve">Fornecimento de kit para montagem em câmara de fluxo do eletrodo do analisador e controlador de processo microprocessado de pH HACH Modelo EC310, ou similar  </v>
          </cell>
          <cell r="H3037" t="str">
            <v xml:space="preserve">un    </v>
          </cell>
          <cell r="I3037">
            <v>3</v>
          </cell>
          <cell r="J3037">
            <v>1378.45</v>
          </cell>
          <cell r="K3037">
            <v>1969.22</v>
          </cell>
          <cell r="L3037">
            <v>4135.3500000000004</v>
          </cell>
        </row>
        <row r="3038">
          <cell r="D3038" t="str">
            <v xml:space="preserve">  Q. 12.            </v>
          </cell>
          <cell r="E3038" t="str">
            <v xml:space="preserve">      </v>
          </cell>
          <cell r="F3038" t="str">
            <v>3.</v>
          </cell>
          <cell r="G3038" t="str">
            <v xml:space="preserve">Analisador de Fluor - Fornecimento  </v>
          </cell>
          <cell r="H3038" t="str">
            <v xml:space="preserve">      </v>
          </cell>
          <cell r="I3038">
            <v>0</v>
          </cell>
          <cell r="J3038">
            <v>0</v>
          </cell>
          <cell r="K3038">
            <v>0</v>
          </cell>
          <cell r="L3038">
            <v>0</v>
          </cell>
        </row>
        <row r="3039">
          <cell r="D3039" t="str">
            <v xml:space="preserve">  Q. 13.            </v>
          </cell>
          <cell r="E3039" t="str">
            <v>CP1239</v>
          </cell>
          <cell r="F3039" t="str">
            <v>3.1.</v>
          </cell>
          <cell r="G3039" t="str">
            <v xml:space="preserve">Fornecimento de analisador de processo microprocessado de fluor, HACH Modelo CA610, 220 V, Faixa de 0,1-10 mg/l, resolução 0,01mg/l, saída de 4-20 mA, leitura digital, alarmes de alto e baixo, construção norma IP-62, com porta de vedação, ou similar  </v>
          </cell>
          <cell r="H3039" t="str">
            <v xml:space="preserve">un    </v>
          </cell>
          <cell r="I3039">
            <v>1</v>
          </cell>
          <cell r="J3039">
            <v>59693.45</v>
          </cell>
          <cell r="K3039">
            <v>85276.35</v>
          </cell>
          <cell r="L3039">
            <v>59693.45</v>
          </cell>
        </row>
        <row r="3040">
          <cell r="D3040" t="str">
            <v xml:space="preserve">  Q. 14.            </v>
          </cell>
          <cell r="E3040" t="str">
            <v xml:space="preserve">      </v>
          </cell>
          <cell r="F3040" t="str">
            <v>4.</v>
          </cell>
          <cell r="G3040" t="str">
            <v xml:space="preserve">Analisador de Cloro Livre - Fornecimento  </v>
          </cell>
          <cell r="H3040" t="str">
            <v xml:space="preserve">      </v>
          </cell>
          <cell r="I3040">
            <v>0</v>
          </cell>
          <cell r="J3040">
            <v>0</v>
          </cell>
          <cell r="K3040">
            <v>0</v>
          </cell>
          <cell r="L3040">
            <v>0</v>
          </cell>
        </row>
        <row r="3041">
          <cell r="D3041" t="str">
            <v xml:space="preserve">  Q. 15.            </v>
          </cell>
          <cell r="E3041" t="str">
            <v>CP1257</v>
          </cell>
          <cell r="F3041" t="str">
            <v>4.1.</v>
          </cell>
          <cell r="G3041" t="str">
            <v xml:space="preserve">Fornecimento de analisador e controlador de processo microprocessado de cloro livre, HACH Modelo CL-17, 220 V, faixa 0 a 5 mg/l, resolução 0,01 mg/l, saída de 4-20 mA, leitura digital, alarmes de alto e baixo, caixa com construção norma IP-62 com porta  </v>
          </cell>
          <cell r="H3041" t="str">
            <v xml:space="preserve">un    </v>
          </cell>
          <cell r="I3041">
            <v>1</v>
          </cell>
          <cell r="J3041">
            <v>39751.78</v>
          </cell>
          <cell r="K3041">
            <v>56788.25</v>
          </cell>
          <cell r="L3041">
            <v>39751.78</v>
          </cell>
        </row>
        <row r="3042">
          <cell r="D3042" t="str">
            <v xml:space="preserve">  Q. 16.            </v>
          </cell>
          <cell r="E3042" t="str">
            <v xml:space="preserve">      </v>
          </cell>
          <cell r="F3042" t="str">
            <v>5.</v>
          </cell>
          <cell r="G3042" t="str">
            <v xml:space="preserve">Contador de Partículas - Fornecimento  </v>
          </cell>
          <cell r="H3042" t="str">
            <v xml:space="preserve">      </v>
          </cell>
          <cell r="I3042">
            <v>0</v>
          </cell>
          <cell r="J3042">
            <v>0</v>
          </cell>
          <cell r="K3042">
            <v>0</v>
          </cell>
          <cell r="L3042">
            <v>0</v>
          </cell>
        </row>
        <row r="3043">
          <cell r="D3043" t="str">
            <v xml:space="preserve">  Q. 17.            </v>
          </cell>
          <cell r="E3043" t="str">
            <v>CP1205</v>
          </cell>
          <cell r="F3043" t="str">
            <v>5.1.</v>
          </cell>
          <cell r="G3043" t="str">
            <v>Fornecimento de contador de partículas de processso microprocessado, HACH Modelo 2200 PCX-230 Vac, faixa 2 a 750 microns, resolução 0,01 mg/l, conversor serial RS485-RS232, entrada analógica, display local, software de aquisição de dados e monitoramento d</v>
          </cell>
          <cell r="H3043" t="str">
            <v xml:space="preserve">un    </v>
          </cell>
          <cell r="I3043">
            <v>1</v>
          </cell>
          <cell r="J3043">
            <v>87738.73</v>
          </cell>
          <cell r="K3043">
            <v>125341.04</v>
          </cell>
          <cell r="L3043">
            <v>87738.73</v>
          </cell>
        </row>
        <row r="3044">
          <cell r="D3044" t="str">
            <v xml:space="preserve">  Q. 18.            </v>
          </cell>
          <cell r="E3044" t="str">
            <v xml:space="preserve">      </v>
          </cell>
          <cell r="F3044" t="str">
            <v>6.</v>
          </cell>
          <cell r="G3044" t="str">
            <v xml:space="preserve">Transmissores de Pressão Manométrica - Fornecimento  </v>
          </cell>
          <cell r="H3044" t="str">
            <v xml:space="preserve">      </v>
          </cell>
          <cell r="I3044">
            <v>0</v>
          </cell>
          <cell r="J3044">
            <v>0</v>
          </cell>
          <cell r="K3044">
            <v>0</v>
          </cell>
          <cell r="L3044">
            <v>0</v>
          </cell>
        </row>
        <row r="3045">
          <cell r="D3045" t="str">
            <v xml:space="preserve">  Q. 19.            </v>
          </cell>
          <cell r="E3045" t="str">
            <v>CP1417</v>
          </cell>
          <cell r="F3045" t="str">
            <v>6.1.</v>
          </cell>
          <cell r="G3045" t="str">
            <v xml:space="preserve">Fornecimento de transmissor microprocessado de pressão manométrica, SMAR  Modelo LD291-M211-10-1/A1/I1, alcance 125 @ 5.000 mmH2O, capacitivo, range 120:1, saída de 4-20 mA, indicador local, ajuste de zeo local, suporte para fixação, ou similar  </v>
          </cell>
          <cell r="H3045" t="str">
            <v xml:space="preserve">un    </v>
          </cell>
          <cell r="I3045">
            <v>24</v>
          </cell>
          <cell r="J3045">
            <v>6846.77</v>
          </cell>
          <cell r="K3045">
            <v>5729.23</v>
          </cell>
          <cell r="L3045">
            <v>164322.48000000001</v>
          </cell>
        </row>
        <row r="3046">
          <cell r="D3046" t="str">
            <v xml:space="preserve">  Q. 20.            </v>
          </cell>
          <cell r="E3046" t="str">
            <v>CP4601</v>
          </cell>
          <cell r="F3046" t="str">
            <v>6.2.</v>
          </cell>
          <cell r="G3046" t="str">
            <v xml:space="preserve">Fornecimento de transmissor microprocessado de pressão manométrica, SMAR Modelo LD291-M211-10-1/A1/I1, alcance 625 @ 25.000 mmH2O, capacitivo, range 120:1, saída de 4-20 mA, indicador local, ajuste de zeo local, suporte para fixação, ou similar  </v>
          </cell>
          <cell r="H3046" t="str">
            <v xml:space="preserve">un    </v>
          </cell>
          <cell r="I3046">
            <v>10</v>
          </cell>
          <cell r="J3046">
            <v>5498.49</v>
          </cell>
          <cell r="K3046">
            <v>7854.99</v>
          </cell>
          <cell r="L3046">
            <v>54984.9</v>
          </cell>
        </row>
        <row r="3047">
          <cell r="D3047" t="str">
            <v xml:space="preserve">  Q. 21.            </v>
          </cell>
          <cell r="E3047" t="str">
            <v xml:space="preserve">      </v>
          </cell>
          <cell r="F3047" t="str">
            <v>7.</v>
          </cell>
          <cell r="G3047" t="str">
            <v xml:space="preserve">Transmissores de Nível Ultrassônicos - Fornecimento  </v>
          </cell>
          <cell r="H3047" t="str">
            <v xml:space="preserve">      </v>
          </cell>
          <cell r="I3047">
            <v>0</v>
          </cell>
          <cell r="J3047">
            <v>0</v>
          </cell>
          <cell r="K3047">
            <v>0</v>
          </cell>
          <cell r="L3047">
            <v>0</v>
          </cell>
        </row>
        <row r="3048">
          <cell r="D3048" t="str">
            <v xml:space="preserve">  Q. 22.            </v>
          </cell>
          <cell r="E3048" t="str">
            <v xml:space="preserve">      </v>
          </cell>
          <cell r="F3048" t="str">
            <v>7.1.</v>
          </cell>
          <cell r="G3048" t="str">
            <v xml:space="preserve">Fornecimento de transmissor microprocessado de nível ultrassônico, miniRanger plus, Milltronics ou similar  </v>
          </cell>
          <cell r="H3048" t="str">
            <v xml:space="preserve">      </v>
          </cell>
          <cell r="I3048">
            <v>0</v>
          </cell>
          <cell r="J3048">
            <v>0</v>
          </cell>
          <cell r="K3048">
            <v>0</v>
          </cell>
          <cell r="L3048">
            <v>0</v>
          </cell>
        </row>
        <row r="3049">
          <cell r="D3049" t="str">
            <v xml:space="preserve">  Q. 23.            </v>
          </cell>
          <cell r="E3049" t="str">
            <v>CP1358</v>
          </cell>
          <cell r="F3049" t="str">
            <v>7.1.1.</v>
          </cell>
          <cell r="G3049" t="str">
            <v xml:space="preserve">Fornecimento de transmissor microprocessado de nível ultrassônico, miniRanger plus, Milltronics ou similar Nível do reservatório de recirculação de água de lavagem  </v>
          </cell>
          <cell r="H3049" t="str">
            <v xml:space="preserve">un    </v>
          </cell>
          <cell r="I3049">
            <v>1</v>
          </cell>
          <cell r="J3049">
            <v>10173.040000000001</v>
          </cell>
          <cell r="K3049">
            <v>15051.69</v>
          </cell>
          <cell r="L3049">
            <v>10173.040000000001</v>
          </cell>
        </row>
        <row r="3050">
          <cell r="D3050" t="str">
            <v xml:space="preserve">  Q. 24.            </v>
          </cell>
          <cell r="E3050" t="str">
            <v>CP1358</v>
          </cell>
          <cell r="F3050" t="str">
            <v>7.1.2.</v>
          </cell>
          <cell r="G3050" t="str">
            <v xml:space="preserve">Fornecimento de transmissor microprocessado de nível ultrassônico, miniRanger plus, Milltronics ou similar Nível dos tanques de lodo  </v>
          </cell>
          <cell r="H3050" t="str">
            <v xml:space="preserve">un    </v>
          </cell>
          <cell r="I3050">
            <v>2</v>
          </cell>
          <cell r="J3050">
            <v>10173.040000000001</v>
          </cell>
          <cell r="K3050">
            <v>15051.69</v>
          </cell>
          <cell r="L3050">
            <v>20346.080000000002</v>
          </cell>
        </row>
        <row r="3051">
          <cell r="D3051" t="str">
            <v xml:space="preserve">  Q. 25.            </v>
          </cell>
          <cell r="E3051" t="str">
            <v>CP1358</v>
          </cell>
          <cell r="F3051" t="str">
            <v>7.1.3.</v>
          </cell>
          <cell r="G3051" t="str">
            <v xml:space="preserve">Fornecimento de transmissor microprocessado de nível ultrassônico, miniRanger plus, Milltronics ou similar Nível dos tanques de sulfato de alumínio  </v>
          </cell>
          <cell r="H3051" t="str">
            <v xml:space="preserve">un    </v>
          </cell>
          <cell r="I3051">
            <v>3</v>
          </cell>
          <cell r="J3051">
            <v>10173.040000000001</v>
          </cell>
          <cell r="K3051">
            <v>15051.69</v>
          </cell>
          <cell r="L3051">
            <v>30519.119999999999</v>
          </cell>
        </row>
        <row r="3052">
          <cell r="D3052" t="str">
            <v xml:space="preserve">  Q. 26.            </v>
          </cell>
          <cell r="E3052" t="str">
            <v>CP1358</v>
          </cell>
          <cell r="F3052" t="str">
            <v>7.1.4.</v>
          </cell>
          <cell r="G3052" t="str">
            <v xml:space="preserve">Fornecimento de transmissor microprocessado de nível ultrassônico, miniRanger plus, Milltronics ou similar Nível da calha Parshall  </v>
          </cell>
          <cell r="H3052" t="str">
            <v xml:space="preserve">un    </v>
          </cell>
          <cell r="I3052">
            <v>1</v>
          </cell>
          <cell r="J3052">
            <v>10173.040000000001</v>
          </cell>
          <cell r="K3052">
            <v>14386.47</v>
          </cell>
          <cell r="L3052">
            <v>10173.040000000001</v>
          </cell>
        </row>
        <row r="3053">
          <cell r="D3053" t="str">
            <v xml:space="preserve">  Q. 27.            </v>
          </cell>
          <cell r="E3053" t="str">
            <v>CP1358</v>
          </cell>
          <cell r="F3053" t="str">
            <v>7.1.5.</v>
          </cell>
          <cell r="G3053" t="str">
            <v xml:space="preserve">Fornecimento de transmissor microprocessado de nível ultrassônico, miniRanger plus, Milltronics ou similar Nível dos tanques de clorito de sódio  </v>
          </cell>
          <cell r="H3053" t="str">
            <v xml:space="preserve">un    </v>
          </cell>
          <cell r="I3053">
            <v>2</v>
          </cell>
          <cell r="J3053">
            <v>10173.040000000001</v>
          </cell>
          <cell r="K3053">
            <v>14386.47</v>
          </cell>
          <cell r="L3053">
            <v>20346.080000000002</v>
          </cell>
        </row>
        <row r="3054">
          <cell r="D3054" t="str">
            <v xml:space="preserve">  Q. 28.            </v>
          </cell>
          <cell r="E3054" t="str">
            <v>CP1358</v>
          </cell>
          <cell r="F3054" t="str">
            <v>7.1.6.</v>
          </cell>
          <cell r="G3054" t="str">
            <v xml:space="preserve">Fornecimento de transmissor microprocessado de nível ultrassônico, miniRanger plus, Milltronics ou similar Nível dos tanques de cal  </v>
          </cell>
          <cell r="H3054" t="str">
            <v xml:space="preserve">un    </v>
          </cell>
          <cell r="I3054">
            <v>2</v>
          </cell>
          <cell r="J3054">
            <v>10173.040000000001</v>
          </cell>
          <cell r="K3054">
            <v>14386.47</v>
          </cell>
          <cell r="L3054">
            <v>20346.080000000002</v>
          </cell>
        </row>
        <row r="3055">
          <cell r="D3055" t="str">
            <v xml:space="preserve">  Q. 29.            </v>
          </cell>
          <cell r="E3055" t="str">
            <v>CP1358</v>
          </cell>
          <cell r="F3055" t="str">
            <v>7.1.7.</v>
          </cell>
          <cell r="G3055" t="str">
            <v xml:space="preserve">Fornecimento de transmissor microprocessado de nível ultrassônico, miniRanger plus, Milltronics ou similar Nível do tanque de água de diluição de sulfato de alumínio  </v>
          </cell>
          <cell r="H3055" t="str">
            <v xml:space="preserve">un    </v>
          </cell>
          <cell r="I3055">
            <v>1</v>
          </cell>
          <cell r="J3055">
            <v>10173.040000000001</v>
          </cell>
          <cell r="K3055">
            <v>14386.47</v>
          </cell>
          <cell r="L3055">
            <v>10173.040000000001</v>
          </cell>
        </row>
        <row r="3056">
          <cell r="D3056" t="str">
            <v xml:space="preserve">  Q. 30.            </v>
          </cell>
          <cell r="E3056" t="str">
            <v>CP1358</v>
          </cell>
          <cell r="F3056" t="str">
            <v>7.1.8.</v>
          </cell>
          <cell r="G3056" t="str">
            <v xml:space="preserve">Fornecimento de transmissor microprocessado de nível ultrassônico, miniRanger plus, Milltronics ou similar Nível dos tanques de ácido fluossilícico  </v>
          </cell>
          <cell r="H3056" t="str">
            <v xml:space="preserve">un    </v>
          </cell>
          <cell r="I3056">
            <v>3</v>
          </cell>
          <cell r="J3056">
            <v>10173.040000000001</v>
          </cell>
          <cell r="K3056">
            <v>14386.47</v>
          </cell>
          <cell r="L3056">
            <v>30519.119999999999</v>
          </cell>
        </row>
        <row r="3057">
          <cell r="D3057" t="str">
            <v xml:space="preserve">  Q. 31.            </v>
          </cell>
          <cell r="E3057" t="str">
            <v>CP1358</v>
          </cell>
          <cell r="F3057" t="str">
            <v>7.1.9.</v>
          </cell>
          <cell r="G3057" t="str">
            <v xml:space="preserve">Fornecimento de transmissor microprocessado de nível ultrassônico, miniRanger plus, Milltronics ou similar Nível dos filtros  </v>
          </cell>
          <cell r="H3057" t="str">
            <v xml:space="preserve">un    </v>
          </cell>
          <cell r="I3057">
            <v>24</v>
          </cell>
          <cell r="J3057">
            <v>10173.040000000001</v>
          </cell>
          <cell r="K3057">
            <v>14386.47</v>
          </cell>
          <cell r="L3057">
            <v>244152.95999999999</v>
          </cell>
        </row>
        <row r="3058">
          <cell r="D3058" t="str">
            <v xml:space="preserve">  Q. 32.            </v>
          </cell>
          <cell r="E3058" t="str">
            <v xml:space="preserve">      </v>
          </cell>
          <cell r="F3058" t="str">
            <v>8.</v>
          </cell>
          <cell r="G3058" t="str">
            <v xml:space="preserve">Transmissores de Vazão Eletromagnéticos Tipo de Inserção - Fornecimento  </v>
          </cell>
          <cell r="H3058" t="str">
            <v xml:space="preserve">      </v>
          </cell>
          <cell r="I3058">
            <v>0</v>
          </cell>
          <cell r="J3058">
            <v>0</v>
          </cell>
          <cell r="K3058">
            <v>0</v>
          </cell>
          <cell r="L3058">
            <v>0</v>
          </cell>
        </row>
        <row r="3059">
          <cell r="D3059" t="str">
            <v xml:space="preserve">  Q. 33.            </v>
          </cell>
          <cell r="E3059" t="str">
            <v xml:space="preserve">      </v>
          </cell>
          <cell r="F3059" t="str">
            <v>8.1.</v>
          </cell>
          <cell r="G3059" t="str">
            <v xml:space="preserve">Fornecimento de transmissor eletromagnético de vazão, DANFOSS, composto por sensor, conversor de sinal MAG 5000, c/ indicação de vazão, precisão de 0,5%, 220 Vac, saída analógica de corrente (4-20 mA), saída de pulsos 24 Vcc p/ totalização da vazão, relé </v>
          </cell>
          <cell r="H3059" t="str">
            <v xml:space="preserve">      </v>
          </cell>
          <cell r="I3059">
            <v>0</v>
          </cell>
          <cell r="J3059">
            <v>0</v>
          </cell>
          <cell r="K3059">
            <v>0</v>
          </cell>
          <cell r="L3059">
            <v>0</v>
          </cell>
        </row>
        <row r="3060">
          <cell r="D3060" t="str">
            <v xml:space="preserve">  Q. 34.            </v>
          </cell>
          <cell r="E3060" t="str">
            <v>CP1278</v>
          </cell>
          <cell r="F3060" t="str">
            <v>8.1.1.</v>
          </cell>
          <cell r="G3060" t="str">
            <v xml:space="preserve">Vazão de solução de sulfato de alumínio a 49%, DANFOSS, sensor Modelo MAG 1100 - DN10 - PN40, sem flanges, para montagem tipo Wafer, revestimento interno em Teflon, eletrodo em Hasteloy C (inclusos gaxetas de grafite e ferrolhos para fixação), ou similar </v>
          </cell>
          <cell r="H3060" t="str">
            <v xml:space="preserve">un    </v>
          </cell>
          <cell r="I3060">
            <v>1</v>
          </cell>
          <cell r="J3060">
            <v>4753.75</v>
          </cell>
          <cell r="K3060">
            <v>3985.24</v>
          </cell>
          <cell r="L3060">
            <v>4753.75</v>
          </cell>
        </row>
        <row r="3061">
          <cell r="D3061" t="str">
            <v xml:space="preserve">  Q. 35.            </v>
          </cell>
          <cell r="E3061" t="str">
            <v>CP1303</v>
          </cell>
          <cell r="F3061" t="str">
            <v>8.1.2.</v>
          </cell>
          <cell r="G3061" t="str">
            <v xml:space="preserve">Vazão de água de diluição de sulfato de alumínio, DANFOSS, sensor Modelo MAG 3100 - DN40, com flanges ANSI 150, revestimento interno em Teflon, eletrodo em aço inox 316 Ti, ou similar  </v>
          </cell>
          <cell r="H3061" t="str">
            <v xml:space="preserve">un    </v>
          </cell>
          <cell r="I3061">
            <v>1</v>
          </cell>
          <cell r="J3061">
            <v>5067.1099999999997</v>
          </cell>
          <cell r="K3061">
            <v>4252.7700000000004</v>
          </cell>
          <cell r="L3061">
            <v>5067.1099999999997</v>
          </cell>
        </row>
        <row r="3062">
          <cell r="D3062" t="str">
            <v xml:space="preserve">  Q. 36.            </v>
          </cell>
          <cell r="E3062" t="str">
            <v>CP1314</v>
          </cell>
          <cell r="F3062" t="str">
            <v>8.1.3.</v>
          </cell>
          <cell r="G3062" t="str">
            <v xml:space="preserve">Vazão de solução de ácido fluossilícico a 23%, DANFOSS, sensor Modelo MAG 1100 - DN6 - PN40, sem flanges, para montagem tipo Wafer, revestimento interno em cerãmica, eletrodo em platina (inclusos gaxetas de grafite e ferrolhos para fixação), ou similar  </v>
          </cell>
          <cell r="H3062" t="str">
            <v xml:space="preserve">un    </v>
          </cell>
          <cell r="I3062">
            <v>1</v>
          </cell>
          <cell r="J3062">
            <v>5052.8</v>
          </cell>
          <cell r="K3062">
            <v>4224.67</v>
          </cell>
          <cell r="L3062">
            <v>5052.8</v>
          </cell>
        </row>
        <row r="3063">
          <cell r="D3063" t="str">
            <v xml:space="preserve">  Q. 37.            </v>
          </cell>
          <cell r="E3063" t="str">
            <v>CP1305</v>
          </cell>
          <cell r="F3063" t="str">
            <v>8.1.4.</v>
          </cell>
          <cell r="G3063" t="str">
            <v xml:space="preserve">Vazão de suspensão de cal, DANFOSS, sensor Modelo MAG 1100 - DN15 - PN40, sem flanges, para montagem tipo Wafer, revestimento interno em Teflon, eletrodo em Hasteloy C (inclusos gaxetas de grafite e ferrolhos para fixação), ou similar  </v>
          </cell>
          <cell r="H3063" t="str">
            <v xml:space="preserve">un    </v>
          </cell>
          <cell r="I3063">
            <v>2</v>
          </cell>
          <cell r="J3063">
            <v>4743.6400000000003</v>
          </cell>
          <cell r="K3063">
            <v>3985.24</v>
          </cell>
          <cell r="L3063">
            <v>9487.2800000000007</v>
          </cell>
        </row>
        <row r="3064">
          <cell r="D3064" t="str">
            <v xml:space="preserve">  Q. 38.            </v>
          </cell>
          <cell r="E3064" t="str">
            <v>CP1299</v>
          </cell>
          <cell r="F3064" t="str">
            <v>8.1.5.</v>
          </cell>
          <cell r="G3064" t="str">
            <v xml:space="preserve">Vazão de recirculação de água saturada, DANFOSS, sensor Modelo MAG 3100 - DN100, com flanges ANSI 150, revestimento interno em Teflon, eletrodo em aço inox 316 Ti, ou similar  </v>
          </cell>
          <cell r="H3064" t="str">
            <v xml:space="preserve">un    </v>
          </cell>
          <cell r="I3064">
            <v>8</v>
          </cell>
          <cell r="J3064">
            <v>5575.78</v>
          </cell>
          <cell r="K3064">
            <v>4681.7299999999996</v>
          </cell>
          <cell r="L3064">
            <v>44606.239999999998</v>
          </cell>
        </row>
        <row r="3065">
          <cell r="D3065" t="str">
            <v xml:space="preserve">  Q. 39.            </v>
          </cell>
          <cell r="E3065" t="str">
            <v>CP1279</v>
          </cell>
          <cell r="F3065" t="str">
            <v>8.1.6.</v>
          </cell>
          <cell r="G3065" t="str">
            <v xml:space="preserve">Vazão de recirculação de água de lavagem, DANFOSS, sensor Modelo MAG 3100 - DN200, com flanges ANSI 150, revestimento interno em Teflon, eletrodo em aço inox 316 Ti, ou similar  </v>
          </cell>
          <cell r="H3065" t="str">
            <v xml:space="preserve">un    </v>
          </cell>
          <cell r="I3065">
            <v>1</v>
          </cell>
          <cell r="J3065">
            <v>12204.85</v>
          </cell>
          <cell r="K3065">
            <v>10212.18</v>
          </cell>
          <cell r="L3065">
            <v>12204.85</v>
          </cell>
        </row>
        <row r="3066">
          <cell r="D3066" t="str">
            <v xml:space="preserve">  Q. 40.            </v>
          </cell>
          <cell r="E3066" t="str">
            <v>CP1305</v>
          </cell>
          <cell r="F3066" t="str">
            <v>8.1.7.</v>
          </cell>
          <cell r="G3066" t="str">
            <v xml:space="preserve">Vazão de solução de polieletrólito, DANFOSS, sensor Modelo MAG 1100 - DN15 - PN40, sem flanges, para montagem tipo Wafer, revestimento interno em Teflon, eletrodo em Hasteloy C (inclusos gaxetas de grafite e ferrolhos para fixação), ou similar  </v>
          </cell>
          <cell r="H3066" t="str">
            <v xml:space="preserve">un    </v>
          </cell>
          <cell r="I3066">
            <v>1</v>
          </cell>
          <cell r="J3066">
            <v>4743.6400000000003</v>
          </cell>
          <cell r="K3066">
            <v>3985.24</v>
          </cell>
          <cell r="L3066">
            <v>4743.6400000000003</v>
          </cell>
        </row>
        <row r="3067">
          <cell r="D3067" t="str">
            <v xml:space="preserve">  Q. 41.            </v>
          </cell>
          <cell r="E3067" t="str">
            <v>CP1294</v>
          </cell>
          <cell r="F3067" t="str">
            <v>8.1.8.</v>
          </cell>
          <cell r="G3067" t="str">
            <v xml:space="preserve">Vazão total de lodo, DANFOSS, sensor Modelo MAG 3100 - DN65, com flanges ANSI 150, revestimento interno em Teflon, eletrodo em aço inox 316 Ti, ou similar  </v>
          </cell>
          <cell r="H3067" t="str">
            <v xml:space="preserve">un    </v>
          </cell>
          <cell r="I3067">
            <v>1</v>
          </cell>
          <cell r="J3067">
            <v>5214</v>
          </cell>
          <cell r="K3067">
            <v>4372.6899999999996</v>
          </cell>
          <cell r="L3067">
            <v>5214</v>
          </cell>
        </row>
        <row r="3068">
          <cell r="D3068" t="str">
            <v xml:space="preserve">  Q. 42.            </v>
          </cell>
          <cell r="E3068" t="str">
            <v>CP1305</v>
          </cell>
          <cell r="F3068" t="str">
            <v>8.1.9.</v>
          </cell>
          <cell r="G3068" t="str">
            <v xml:space="preserve">Vazão de solução clorito de sódio a 25%, DANFOSS, sensor Modelo MAG 1100 - DN15 - PN40, sem flanges, para montagem tipo Wafer, revestimento interno em Teflon, eletrodo em Hasteloy C (inclusos gaxetas de grafite e ferrolhos para fixação), ou similar  </v>
          </cell>
          <cell r="H3068" t="str">
            <v xml:space="preserve">un    </v>
          </cell>
          <cell r="I3068">
            <v>1</v>
          </cell>
          <cell r="J3068">
            <v>4743.6400000000003</v>
          </cell>
          <cell r="K3068">
            <v>3985.24</v>
          </cell>
          <cell r="L3068">
            <v>4743.6400000000003</v>
          </cell>
        </row>
        <row r="3069">
          <cell r="D3069" t="str">
            <v xml:space="preserve">  Q. 43.            </v>
          </cell>
          <cell r="E3069" t="str">
            <v xml:space="preserve">      </v>
          </cell>
          <cell r="F3069" t="str">
            <v>9.</v>
          </cell>
          <cell r="G3069" t="str">
            <v xml:space="preserve">Transmissores de Vazão Eletromagnéticos Tipo Sonda de Inserção - Fornecimento  </v>
          </cell>
          <cell r="H3069" t="str">
            <v xml:space="preserve">      </v>
          </cell>
          <cell r="I3069">
            <v>0</v>
          </cell>
          <cell r="J3069">
            <v>0</v>
          </cell>
          <cell r="K3069">
            <v>0</v>
          </cell>
          <cell r="L3069">
            <v>0</v>
          </cell>
        </row>
        <row r="3070">
          <cell r="D3070" t="str">
            <v xml:space="preserve">  Q. 44.            </v>
          </cell>
          <cell r="E3070" t="str">
            <v xml:space="preserve">      </v>
          </cell>
          <cell r="F3070" t="str">
            <v>9.1.</v>
          </cell>
          <cell r="G3070" t="str">
            <v xml:space="preserve">Fornecimento de transmissor eletromagnético de vazão, ABB Aqua Probe II, composto por sensor, transmissor de sinal, c/ indicação de vazão, precisão de 0,5%, 220 Vac, saída analógica de corrente (4-20 mA), saída de pulsos 24 Vcc p/ totalização da vazão  </v>
          </cell>
          <cell r="H3070" t="str">
            <v xml:space="preserve">      </v>
          </cell>
          <cell r="I3070">
            <v>0</v>
          </cell>
          <cell r="J3070">
            <v>0</v>
          </cell>
          <cell r="K3070">
            <v>0</v>
          </cell>
          <cell r="L3070">
            <v>0</v>
          </cell>
        </row>
        <row r="3071">
          <cell r="D3071" t="str">
            <v xml:space="preserve">  Q. 45.            </v>
          </cell>
          <cell r="E3071" t="str">
            <v>CP1217</v>
          </cell>
          <cell r="F3071" t="str">
            <v>9.1.1.</v>
          </cell>
          <cell r="G3071" t="str">
            <v>Fornecimento de transmissor eletromagnético de vazão, ABB Aqua Probe II, composto por sensor, transmissor de sinal, c/ indicação de vazão, precisão de 0,5%, 220 Vac, saída analógica de corrente (4-20 mA), saída de pulsos 24 Vcc p/ totalização da vazão Vaz</v>
          </cell>
          <cell r="H3071" t="str">
            <v xml:space="preserve">un    </v>
          </cell>
          <cell r="I3071">
            <v>1</v>
          </cell>
          <cell r="J3071">
            <v>14814.61</v>
          </cell>
          <cell r="K3071">
            <v>12398.83</v>
          </cell>
          <cell r="L3071">
            <v>14814.61</v>
          </cell>
        </row>
        <row r="3072">
          <cell r="D3072" t="str">
            <v xml:space="preserve">  Q. 46.            </v>
          </cell>
          <cell r="E3072" t="str">
            <v>CP1217</v>
          </cell>
          <cell r="F3072" t="str">
            <v>9.1.2.</v>
          </cell>
          <cell r="G3072" t="str">
            <v>Fornecimento de transmissor eletromagnético de vazão, ABB Aqua Probe II, composto por sensor, transmissor de sinal, c/ indicação de vazão, precisão de 0,5%, 220 Vac, saída analógica de corrente (4-20 mA), saída de pulsos 24 Vcc p/ totalização da vazão Vaz</v>
          </cell>
          <cell r="H3072" t="str">
            <v xml:space="preserve">un    </v>
          </cell>
          <cell r="I3072">
            <v>1</v>
          </cell>
          <cell r="J3072">
            <v>14814.61</v>
          </cell>
          <cell r="K3072">
            <v>12398.83</v>
          </cell>
          <cell r="L3072">
            <v>14814.61</v>
          </cell>
        </row>
        <row r="3073">
          <cell r="D3073" t="str">
            <v xml:space="preserve">  Q. 47.            </v>
          </cell>
          <cell r="E3073" t="str">
            <v xml:space="preserve">      </v>
          </cell>
          <cell r="F3073" t="str">
            <v>10.</v>
          </cell>
          <cell r="G3073" t="str">
            <v xml:space="preserve">Analisadores de Turbidez - Assentamento  </v>
          </cell>
          <cell r="H3073" t="str">
            <v xml:space="preserve">      </v>
          </cell>
          <cell r="I3073">
            <v>0</v>
          </cell>
          <cell r="J3073">
            <v>0</v>
          </cell>
          <cell r="K3073">
            <v>0</v>
          </cell>
          <cell r="L3073">
            <v>0</v>
          </cell>
        </row>
        <row r="3074">
          <cell r="D3074" t="str">
            <v xml:space="preserve">  Q. 48.            </v>
          </cell>
          <cell r="E3074" t="str">
            <v>CP0040</v>
          </cell>
          <cell r="F3074" t="str">
            <v>10.1.</v>
          </cell>
          <cell r="G3074" t="str">
            <v xml:space="preserve">Assentamento de analisador de processo microprocessado de turbidez de água bruta, HACH Modelo 1720D,  220 V, Faixa de 0 a 100 NTU, composto por interface AquaTrend/SOM, conversor PS1201, sensor 1720D e 1,5 m de cabo, ou similar, inclusive treinamento dos </v>
          </cell>
          <cell r="H3074" t="str">
            <v xml:space="preserve">un    </v>
          </cell>
          <cell r="I3074">
            <v>1</v>
          </cell>
          <cell r="J3074">
            <v>1370.74</v>
          </cell>
          <cell r="K3074">
            <v>1153.8499999999999</v>
          </cell>
          <cell r="L3074">
            <v>1370.74</v>
          </cell>
        </row>
        <row r="3075">
          <cell r="D3075" t="str">
            <v xml:space="preserve">  Q. 49.            </v>
          </cell>
          <cell r="E3075" t="str">
            <v>CP0040</v>
          </cell>
          <cell r="F3075" t="str">
            <v>10.2.</v>
          </cell>
          <cell r="G3075" t="str">
            <v>Assentamento de analisador de processo microprocessado de turbidez de água tratada, HACH Modelo 1720D,  220 V, Faixa de 0 a 100 NTU, composto por interface AquaTrend/SOM, conversor PS1201, sensor 1720D e 1,5 m de cabo, ou similar, inclusive treinamento do</v>
          </cell>
          <cell r="H3075" t="str">
            <v xml:space="preserve">un    </v>
          </cell>
          <cell r="I3075">
            <v>1</v>
          </cell>
          <cell r="J3075">
            <v>1370.74</v>
          </cell>
          <cell r="K3075">
            <v>1148.1099999999999</v>
          </cell>
          <cell r="L3075">
            <v>1370.74</v>
          </cell>
        </row>
        <row r="3076">
          <cell r="D3076" t="str">
            <v xml:space="preserve">  Q. 50.            </v>
          </cell>
          <cell r="E3076" t="str">
            <v>CP0039</v>
          </cell>
          <cell r="F3076" t="str">
            <v>10.3.</v>
          </cell>
          <cell r="G3076" t="str">
            <v xml:space="preserve">Assentamento de analisador de processo microprocessado de turbidez de água de lavagem, YSI ou similar, Faixa de 0 a 1000 NTU, 220 V, inclusive treinamento de técnicos da CAESB  </v>
          </cell>
          <cell r="H3076" t="str">
            <v xml:space="preserve">un    </v>
          </cell>
          <cell r="I3076">
            <v>1</v>
          </cell>
          <cell r="J3076">
            <v>1379.03</v>
          </cell>
          <cell r="K3076">
            <v>1153.8499999999999</v>
          </cell>
          <cell r="L3076">
            <v>1379.03</v>
          </cell>
        </row>
        <row r="3077">
          <cell r="D3077" t="str">
            <v xml:space="preserve">  Q. 51.            </v>
          </cell>
          <cell r="E3077" t="str">
            <v xml:space="preserve">      </v>
          </cell>
          <cell r="F3077" t="str">
            <v>10.4.</v>
          </cell>
          <cell r="G3077" t="str">
            <v xml:space="preserve">Assentamento de analisador de processo microprocessado de turbidez de água filtrada, inclusive treinamento dos técnicos da CAESB  </v>
          </cell>
          <cell r="H3077" t="str">
            <v xml:space="preserve">      </v>
          </cell>
          <cell r="I3077">
            <v>0</v>
          </cell>
          <cell r="J3077">
            <v>0</v>
          </cell>
          <cell r="K3077">
            <v>0</v>
          </cell>
          <cell r="L3077">
            <v>0</v>
          </cell>
        </row>
        <row r="3078">
          <cell r="D3078" t="str">
            <v xml:space="preserve">  Q. 52.            </v>
          </cell>
          <cell r="E3078" t="str">
            <v>CP0038</v>
          </cell>
          <cell r="F3078" t="str">
            <v>10.4.1.</v>
          </cell>
          <cell r="G3078" t="str">
            <v xml:space="preserve">Turbidímetro de processo microprocessado, HACH Modelo 1720D, 220 V, Faixa de 0 a 100 NTU, composto por interface AquaTrend/SOM, conversor PS1201, sensor 1720D e 1,5 m de cabo, ou similar  </v>
          </cell>
          <cell r="H3078" t="str">
            <v xml:space="preserve">un    </v>
          </cell>
          <cell r="I3078">
            <v>3</v>
          </cell>
          <cell r="J3078">
            <v>1107.3599999999999</v>
          </cell>
          <cell r="K3078">
            <v>923.98</v>
          </cell>
          <cell r="L3078">
            <v>3322.08</v>
          </cell>
        </row>
        <row r="3079">
          <cell r="D3079" t="str">
            <v xml:space="preserve">  Q. 53.            </v>
          </cell>
          <cell r="E3079" t="str">
            <v>CP0037</v>
          </cell>
          <cell r="F3079" t="str">
            <v>10.4.2.</v>
          </cell>
          <cell r="G3079" t="str">
            <v xml:space="preserve">Conjunto para ampliação da rede de turbidímetros, HACH 1720D, composto por um conversor de energia PS1201 e um sensor 1720D  </v>
          </cell>
          <cell r="H3079" t="str">
            <v xml:space="preserve">un    </v>
          </cell>
          <cell r="I3079">
            <v>21</v>
          </cell>
          <cell r="J3079">
            <v>1105.7</v>
          </cell>
          <cell r="K3079">
            <v>923.98</v>
          </cell>
          <cell r="L3079">
            <v>23219.7</v>
          </cell>
        </row>
        <row r="3080">
          <cell r="D3080" t="str">
            <v xml:space="preserve">  Q. 54.            </v>
          </cell>
          <cell r="E3080" t="str">
            <v>CP0036</v>
          </cell>
          <cell r="F3080" t="str">
            <v>10.4.3.</v>
          </cell>
          <cell r="G3080" t="str">
            <v xml:space="preserve">Módulo de saída de sinal para rede de turbidímetros HACH 1720D, com saída para dois relés e duas saídas 4-20 mA  </v>
          </cell>
          <cell r="H3080" t="str">
            <v xml:space="preserve">un    </v>
          </cell>
          <cell r="I3080">
            <v>9</v>
          </cell>
          <cell r="J3080">
            <v>646.79</v>
          </cell>
          <cell r="K3080">
            <v>923.98</v>
          </cell>
          <cell r="L3080">
            <v>5821.11</v>
          </cell>
        </row>
        <row r="3081">
          <cell r="D3081" t="str">
            <v xml:space="preserve">  Q. 55.            </v>
          </cell>
          <cell r="E3081" t="str">
            <v xml:space="preserve">      </v>
          </cell>
          <cell r="F3081" t="str">
            <v>11.</v>
          </cell>
          <cell r="G3081" t="str">
            <v xml:space="preserve">Analisadores de pH - Assentamento  </v>
          </cell>
          <cell r="H3081" t="str">
            <v xml:space="preserve">      </v>
          </cell>
          <cell r="I3081">
            <v>0</v>
          </cell>
          <cell r="J3081">
            <v>0</v>
          </cell>
          <cell r="K3081">
            <v>0</v>
          </cell>
          <cell r="L3081">
            <v>0</v>
          </cell>
        </row>
        <row r="3082">
          <cell r="D3082" t="str">
            <v xml:space="preserve">  Q. 56.            </v>
          </cell>
          <cell r="E3082" t="str">
            <v>CP0035</v>
          </cell>
          <cell r="F3082" t="str">
            <v>11.1.</v>
          </cell>
          <cell r="G3082" t="str">
            <v xml:space="preserve">Assentamento de analisador e controlador de processo microprocessado de pH, HACH Modelo EC310, 220 V, resolução 0,01pH, 2 saídas de 4-20 mA, leitura digital, composto de unidade controladora PID, eletrodo (sensor) cabo de 6,5 m para eletrodo, ou similar, </v>
          </cell>
          <cell r="H3082" t="str">
            <v xml:space="preserve">un    </v>
          </cell>
          <cell r="I3082">
            <v>3</v>
          </cell>
          <cell r="J3082">
            <v>3002.75</v>
          </cell>
          <cell r="K3082">
            <v>4289.6400000000003</v>
          </cell>
          <cell r="L3082">
            <v>9008.25</v>
          </cell>
        </row>
        <row r="3083">
          <cell r="D3083" t="str">
            <v xml:space="preserve">  Q. 57.            </v>
          </cell>
          <cell r="E3083" t="str">
            <v>CP0034</v>
          </cell>
          <cell r="F3083" t="str">
            <v>11.2.</v>
          </cell>
          <cell r="G3083" t="str">
            <v xml:space="preserve">Assentamento de kit para montagem em câmara de fluxo do eletrodo do analisador e controlador de processo microprocessado de pH HACH Modelo EC310, ou similar  </v>
          </cell>
          <cell r="H3083" t="str">
            <v xml:space="preserve">un    </v>
          </cell>
          <cell r="I3083">
            <v>3</v>
          </cell>
          <cell r="J3083">
            <v>1452.31</v>
          </cell>
          <cell r="K3083">
            <v>1856.65</v>
          </cell>
          <cell r="L3083">
            <v>4356.93</v>
          </cell>
        </row>
        <row r="3084">
          <cell r="D3084" t="str">
            <v xml:space="preserve">  Q. 58.            </v>
          </cell>
          <cell r="E3084" t="str">
            <v xml:space="preserve">      </v>
          </cell>
          <cell r="F3084" t="str">
            <v>12.</v>
          </cell>
          <cell r="G3084" t="str">
            <v xml:space="preserve">Analisador de Fluor - Assentamento  </v>
          </cell>
          <cell r="H3084" t="str">
            <v xml:space="preserve">      </v>
          </cell>
          <cell r="I3084">
            <v>0</v>
          </cell>
          <cell r="J3084">
            <v>0</v>
          </cell>
          <cell r="K3084">
            <v>0</v>
          </cell>
          <cell r="L3084">
            <v>0</v>
          </cell>
        </row>
        <row r="3085">
          <cell r="D3085" t="str">
            <v xml:space="preserve">  Q. 59.            </v>
          </cell>
          <cell r="E3085" t="str">
            <v>CP0033</v>
          </cell>
          <cell r="F3085" t="str">
            <v>12.1.</v>
          </cell>
          <cell r="G3085" t="str">
            <v>Assentamento de analisador de processo microprocessado de fluor, HACH Modelo CA610, 220 V, Faixa de 0,1-10 mg/l, resolução 0,01mg/l, saída de 4-20 mA, leitura digital, alarmes de alto e baixo, construção norma IP-62, com porta de vedação, ou similar, incl</v>
          </cell>
          <cell r="H3085" t="str">
            <v xml:space="preserve">un    </v>
          </cell>
          <cell r="I3085">
            <v>1</v>
          </cell>
          <cell r="J3085">
            <v>6460.53</v>
          </cell>
          <cell r="K3085">
            <v>9229.33</v>
          </cell>
          <cell r="L3085">
            <v>6460.53</v>
          </cell>
        </row>
        <row r="3086">
          <cell r="D3086" t="str">
            <v xml:space="preserve">  Q. 60.            </v>
          </cell>
          <cell r="E3086" t="str">
            <v xml:space="preserve">      </v>
          </cell>
          <cell r="F3086" t="str">
            <v>13.</v>
          </cell>
          <cell r="G3086" t="str">
            <v xml:space="preserve">Analisador de Cloro Livre - Assentamento  </v>
          </cell>
          <cell r="H3086" t="str">
            <v xml:space="preserve">      </v>
          </cell>
          <cell r="I3086">
            <v>0</v>
          </cell>
          <cell r="J3086">
            <v>0</v>
          </cell>
          <cell r="K3086">
            <v>0</v>
          </cell>
          <cell r="L3086">
            <v>0</v>
          </cell>
        </row>
        <row r="3087">
          <cell r="D3087" t="str">
            <v xml:space="preserve">  Q. 61.            </v>
          </cell>
          <cell r="E3087" t="str">
            <v>CP0032</v>
          </cell>
          <cell r="F3087" t="str">
            <v>13.1.</v>
          </cell>
          <cell r="G3087" t="str">
            <v xml:space="preserve">Assentamento de analisador e controlador de processo microprocessado de cloro livre, HACH Modelo CL-17, 220 V, faixa 0 a 5 mg/l, resolução 0,01 mg/l, saída de 4-20 mA, leitura digital, alarmes de alto e baixo, caixa com construção norma IP-62 com porta  </v>
          </cell>
          <cell r="H3087" t="str">
            <v xml:space="preserve">un    </v>
          </cell>
          <cell r="I3087">
            <v>1</v>
          </cell>
          <cell r="J3087">
            <v>8713.81</v>
          </cell>
          <cell r="K3087">
            <v>9229.33</v>
          </cell>
          <cell r="L3087">
            <v>8713.81</v>
          </cell>
        </row>
        <row r="3088">
          <cell r="D3088" t="str">
            <v xml:space="preserve">  Q. 62.            </v>
          </cell>
          <cell r="E3088" t="str">
            <v xml:space="preserve">      </v>
          </cell>
          <cell r="F3088" t="str">
            <v>14.</v>
          </cell>
          <cell r="G3088" t="str">
            <v xml:space="preserve">Contador de Partículas - Assentamento  </v>
          </cell>
          <cell r="H3088" t="str">
            <v xml:space="preserve">      </v>
          </cell>
          <cell r="I3088">
            <v>0</v>
          </cell>
          <cell r="J3088">
            <v>0</v>
          </cell>
          <cell r="K3088">
            <v>0</v>
          </cell>
          <cell r="L3088">
            <v>0</v>
          </cell>
        </row>
        <row r="3089">
          <cell r="D3089" t="str">
            <v xml:space="preserve">  Q. 63.            </v>
          </cell>
          <cell r="E3089" t="str">
            <v>CP0031</v>
          </cell>
          <cell r="F3089" t="str">
            <v>14.1.</v>
          </cell>
          <cell r="G3089" t="str">
            <v>Assentamento de contador de partículas de processso microprocessado, HACH Modelo 2200 PCX-230 Vac, faixa 2 a 750 microns, resolução 0,01 mg/l, conversor serial RS485-RS232, entrada analógica, display local, software de aquisição de dados e monitoramento d</v>
          </cell>
          <cell r="H3089" t="str">
            <v xml:space="preserve">un    </v>
          </cell>
          <cell r="I3089">
            <v>1</v>
          </cell>
          <cell r="J3089">
            <v>6971.06</v>
          </cell>
          <cell r="K3089">
            <v>9229.33</v>
          </cell>
          <cell r="L3089">
            <v>6971.06</v>
          </cell>
        </row>
        <row r="3090">
          <cell r="D3090" t="str">
            <v xml:space="preserve">  Q. 64.            </v>
          </cell>
          <cell r="E3090" t="str">
            <v xml:space="preserve">      </v>
          </cell>
          <cell r="F3090" t="str">
            <v>15.</v>
          </cell>
          <cell r="G3090" t="str">
            <v xml:space="preserve">Transmissores de Pressão Manométrica-Assentamento  </v>
          </cell>
          <cell r="H3090" t="str">
            <v xml:space="preserve">      </v>
          </cell>
          <cell r="I3090">
            <v>0</v>
          </cell>
          <cell r="J3090">
            <v>0</v>
          </cell>
          <cell r="K3090">
            <v>0</v>
          </cell>
          <cell r="L3090">
            <v>0</v>
          </cell>
        </row>
        <row r="3091">
          <cell r="D3091" t="str">
            <v xml:space="preserve">  Q. 65.            </v>
          </cell>
          <cell r="E3091" t="str">
            <v>CP0029</v>
          </cell>
          <cell r="F3091" t="str">
            <v>15.1.</v>
          </cell>
          <cell r="G3091" t="str">
            <v xml:space="preserve">Assentamento de transmissor microprocessado de pressão manométrica, SMAR  Modelo LD291-M211-10-1/A1/I1,alcance 125 @ 5.000 mmH2O, capacitivo, range 120:1, saída de 4-20 mA, indicador local, ajuste de zeo local, suporte para fixação, ou similar  </v>
          </cell>
          <cell r="H3091" t="str">
            <v xml:space="preserve">un    </v>
          </cell>
          <cell r="I3091">
            <v>24</v>
          </cell>
          <cell r="J3091">
            <v>936.99</v>
          </cell>
          <cell r="K3091">
            <v>786.72</v>
          </cell>
          <cell r="L3091">
            <v>22487.759999999998</v>
          </cell>
        </row>
        <row r="3092">
          <cell r="D3092" t="str">
            <v xml:space="preserve">  Q. 66.            </v>
          </cell>
          <cell r="E3092" t="str">
            <v>CP0029</v>
          </cell>
          <cell r="F3092" t="str">
            <v>15.2.</v>
          </cell>
          <cell r="G3092" t="str">
            <v xml:space="preserve">Assentamento de transmissor microprocessado de pressão manométrica, SMAR  Modelo LD291-M211-10-1/A1/I1,alcance 625 @ 25.000 mmH2O, capacitivo, range 120:1, saída de 4-20 mA, indicador local, ajuste de zeo local, suporte para fixação, ou similar  </v>
          </cell>
          <cell r="H3092" t="str">
            <v xml:space="preserve">un    </v>
          </cell>
          <cell r="I3092">
            <v>10</v>
          </cell>
          <cell r="J3092">
            <v>936.99</v>
          </cell>
          <cell r="K3092">
            <v>786.72</v>
          </cell>
          <cell r="L3092">
            <v>9369.9</v>
          </cell>
        </row>
        <row r="3093">
          <cell r="D3093" t="str">
            <v xml:space="preserve">  Q. 67.            </v>
          </cell>
          <cell r="E3093" t="str">
            <v xml:space="preserve">      </v>
          </cell>
          <cell r="F3093" t="str">
            <v>16.</v>
          </cell>
          <cell r="G3093" t="str">
            <v xml:space="preserve">Transmissores de Nível Ultrassônicos - Assentamento  </v>
          </cell>
          <cell r="H3093" t="str">
            <v xml:space="preserve">      </v>
          </cell>
          <cell r="I3093">
            <v>0</v>
          </cell>
          <cell r="J3093">
            <v>0</v>
          </cell>
          <cell r="K3093">
            <v>0</v>
          </cell>
          <cell r="L3093">
            <v>0</v>
          </cell>
        </row>
        <row r="3094">
          <cell r="D3094" t="str">
            <v xml:space="preserve">  Q. 68.            </v>
          </cell>
          <cell r="E3094" t="str">
            <v xml:space="preserve">      </v>
          </cell>
          <cell r="F3094" t="str">
            <v>16.1.</v>
          </cell>
          <cell r="G3094" t="str">
            <v xml:space="preserve">Assentamento de transmissor microprocessado de nível ultrassônico, BÜRKERT, Modelo 8175, faixa 0,3 a 10 m, conexão 2 BSP ao processo, 220 Vac, saída de 4-20 mA, supressor zero e span, temperatura -40º -80ºC, ou similar  </v>
          </cell>
          <cell r="H3094" t="str">
            <v xml:space="preserve">      </v>
          </cell>
          <cell r="I3094">
            <v>0</v>
          </cell>
          <cell r="J3094">
            <v>0</v>
          </cell>
          <cell r="K3094">
            <v>0</v>
          </cell>
          <cell r="L3094">
            <v>0</v>
          </cell>
        </row>
        <row r="3095">
          <cell r="D3095" t="str">
            <v xml:space="preserve">  Q. 69.            </v>
          </cell>
          <cell r="E3095" t="str">
            <v>CP0020</v>
          </cell>
          <cell r="F3095" t="str">
            <v>16.1.1.</v>
          </cell>
          <cell r="G3095" t="str">
            <v>Assentamento de transmissor microprocessado de nível ultrassônico, BÜRKERT, Modelo 8175, faixa 0,3 a 10 m, conexão 2 BSP ao processo, 220 Vac, saída de 4-20 mA, supressor zero e span, temperatura -40º -80ºC, ou similar Nível do reservatório de recirculaçã</v>
          </cell>
          <cell r="H3095" t="str">
            <v xml:space="preserve">un    </v>
          </cell>
          <cell r="I3095">
            <v>1</v>
          </cell>
          <cell r="J3095">
            <v>871.39</v>
          </cell>
          <cell r="K3095">
            <v>786.72</v>
          </cell>
          <cell r="L3095">
            <v>871.39</v>
          </cell>
        </row>
        <row r="3096">
          <cell r="D3096" t="str">
            <v xml:space="preserve">  Q. 70.            </v>
          </cell>
          <cell r="E3096" t="str">
            <v>CP0020</v>
          </cell>
          <cell r="F3096" t="str">
            <v>16.1.2.</v>
          </cell>
          <cell r="G3096" t="str">
            <v xml:space="preserve">Assentamento de transmissor microprocessado de nível ultrassônico, BÜRKERT, Modelo 8175, faixa 0,3 a 10 m, conexão 2 BSP ao processo, 220 Vac, saída de 4-20 mA, supressor zero e span, temperatura -40º -80ºC, ou similar Nível dos tanques de lodo  </v>
          </cell>
          <cell r="H3096" t="str">
            <v xml:space="preserve">un    </v>
          </cell>
          <cell r="I3096">
            <v>2</v>
          </cell>
          <cell r="J3096">
            <v>871.39</v>
          </cell>
          <cell r="K3096">
            <v>786.72</v>
          </cell>
          <cell r="L3096">
            <v>1742.78</v>
          </cell>
        </row>
        <row r="3097">
          <cell r="D3097" t="str">
            <v xml:space="preserve">  Q. 71.            </v>
          </cell>
          <cell r="E3097" t="str">
            <v>CP0020</v>
          </cell>
          <cell r="F3097" t="str">
            <v>16.1.3.</v>
          </cell>
          <cell r="G3097" t="str">
            <v>Assentamento de transmissor microprocessado de nível ultrassônico, BÜRKERT, Modelo 8175, faixa 0,3 a 10 m, conexão 2 BSP ao processo, 220 Vac, saída de 4-20 mA, supressor zero e span, temperatura -40º -80ºC, ou similar Nível dos tanques de sulfato de alum</v>
          </cell>
          <cell r="H3097" t="str">
            <v xml:space="preserve">un    </v>
          </cell>
          <cell r="I3097">
            <v>3</v>
          </cell>
          <cell r="J3097">
            <v>871.39</v>
          </cell>
          <cell r="K3097">
            <v>786.72</v>
          </cell>
          <cell r="L3097">
            <v>2614.17</v>
          </cell>
        </row>
        <row r="3098">
          <cell r="D3098" t="str">
            <v xml:space="preserve">  Q. 72.            </v>
          </cell>
          <cell r="E3098" t="str">
            <v>CP0020</v>
          </cell>
          <cell r="F3098" t="str">
            <v>16.1.4.</v>
          </cell>
          <cell r="G3098" t="str">
            <v xml:space="preserve">Assentamento de transmissor microprocessado de nível ultrassônico, BÜRKERT, Modelo 8175, faixa 0,3 a 10 m, conexão 2 BSP ao processo, 220 Vac, saída de 4-20 mA, supressor zero e span, temperatura -40º -80ºC, ou similar Nível da calha Parshall  </v>
          </cell>
          <cell r="H3098" t="str">
            <v xml:space="preserve">un    </v>
          </cell>
          <cell r="I3098">
            <v>1</v>
          </cell>
          <cell r="J3098">
            <v>871.39</v>
          </cell>
          <cell r="K3098">
            <v>786.72</v>
          </cell>
          <cell r="L3098">
            <v>871.39</v>
          </cell>
        </row>
        <row r="3099">
          <cell r="D3099" t="str">
            <v xml:space="preserve">  Q. 73.            </v>
          </cell>
          <cell r="E3099" t="str">
            <v>CP0020</v>
          </cell>
          <cell r="F3099" t="str">
            <v>16.1.5.</v>
          </cell>
          <cell r="G3099" t="str">
            <v>Assentamento de transmissor microprocessado de nível ultrassônico, BÜRKERT, Modelo 8175, faixa 0,3 a 10 m, conexão 2 BSP ao processo, 220 Vac, saída de 4-20 mA, supressor zero e span, temperatura -40º -80ºC, ou similar Nível dos tanques de clorito de sódi</v>
          </cell>
          <cell r="H3099" t="str">
            <v xml:space="preserve">un    </v>
          </cell>
          <cell r="I3099">
            <v>2</v>
          </cell>
          <cell r="J3099">
            <v>871.39</v>
          </cell>
          <cell r="K3099">
            <v>786.72</v>
          </cell>
          <cell r="L3099">
            <v>1742.78</v>
          </cell>
        </row>
        <row r="3100">
          <cell r="D3100" t="str">
            <v xml:space="preserve">  Q. 74.            </v>
          </cell>
          <cell r="E3100" t="str">
            <v>CP0020</v>
          </cell>
          <cell r="F3100" t="str">
            <v>16.1.6.</v>
          </cell>
          <cell r="G3100" t="str">
            <v xml:space="preserve">Assentamento de transmissor microprocessado de nível ultrassônico, BÜRKERT, Modelo 8175, faixa 0,3 a 10 m, conexão 2 BSP ao processo, 220 Vac, saída de 4-20 mA, supressor zero e span, temperatura -40º -80ºC, ou similar Nível dos tanques de cal  </v>
          </cell>
          <cell r="H3100" t="str">
            <v xml:space="preserve">un    </v>
          </cell>
          <cell r="I3100">
            <v>2</v>
          </cell>
          <cell r="J3100">
            <v>871.39</v>
          </cell>
          <cell r="K3100">
            <v>786.72</v>
          </cell>
          <cell r="L3100">
            <v>1742.78</v>
          </cell>
        </row>
        <row r="3101">
          <cell r="D3101" t="str">
            <v xml:space="preserve">  Q. 75.            </v>
          </cell>
          <cell r="E3101" t="str">
            <v>CP0020</v>
          </cell>
          <cell r="F3101" t="str">
            <v>16.1.7.</v>
          </cell>
          <cell r="G3101" t="str">
            <v xml:space="preserve">Assentamento de transmissor microprocessado de nível ultrassônico, BÜRKERT, Modelo 8175, faixa 0,3 a 10 m, conexão 2 BSP ao processo, 220 Vac, saída de 4-20 mA, supressor zero e span, temperatura -40º -80ºC, ou similar Nível do tanque de água de diluição </v>
          </cell>
          <cell r="H3101" t="str">
            <v xml:space="preserve">un    </v>
          </cell>
          <cell r="I3101">
            <v>1</v>
          </cell>
          <cell r="J3101">
            <v>871.39</v>
          </cell>
          <cell r="K3101">
            <v>786.72</v>
          </cell>
          <cell r="L3101">
            <v>871.39</v>
          </cell>
        </row>
        <row r="3102">
          <cell r="D3102" t="str">
            <v xml:space="preserve">  Q. 76.            </v>
          </cell>
          <cell r="E3102" t="str">
            <v>CP0020</v>
          </cell>
          <cell r="F3102" t="str">
            <v>16.1.8.</v>
          </cell>
          <cell r="G3102" t="str">
            <v>Assentamento de transmissor microprocessado de nível ultrassônico, BÜRKERT, Modelo 8175, faixa 0,3 a 10 m, conexão 2 BSP ao processo, 220 Vac, saída de 4-20 mA, supressor zero e span, temperatura -40º -80ºC, ou similar Nível dos tanques de ácido fluossilí</v>
          </cell>
          <cell r="H3102" t="str">
            <v xml:space="preserve">un    </v>
          </cell>
          <cell r="I3102">
            <v>3</v>
          </cell>
          <cell r="J3102">
            <v>871.39</v>
          </cell>
          <cell r="K3102">
            <v>786.72</v>
          </cell>
          <cell r="L3102">
            <v>2614.17</v>
          </cell>
        </row>
        <row r="3103">
          <cell r="D3103" t="str">
            <v xml:space="preserve">  Q. 77.            </v>
          </cell>
          <cell r="E3103" t="str">
            <v>CP0020</v>
          </cell>
          <cell r="F3103" t="str">
            <v>16.1.9.</v>
          </cell>
          <cell r="G3103" t="str">
            <v xml:space="preserve">Assentamento de transmissor microprocessado de nível ultrassônico, BÜRKERT, Modelo 8175, faixa 0,3 a 10 m, conexão 2 BSP ao processo, 220 Vac, saída de 4-20 mA, supressor zero e span, temperatura -40º -80ºC, ou similar Nível dos filtros  </v>
          </cell>
          <cell r="H3103" t="str">
            <v xml:space="preserve">un    </v>
          </cell>
          <cell r="I3103">
            <v>24</v>
          </cell>
          <cell r="J3103">
            <v>871.39</v>
          </cell>
          <cell r="K3103">
            <v>786.72</v>
          </cell>
          <cell r="L3103">
            <v>20913.36</v>
          </cell>
        </row>
        <row r="3104">
          <cell r="D3104" t="str">
            <v xml:space="preserve">  Q. 78.            </v>
          </cell>
          <cell r="E3104" t="str">
            <v xml:space="preserve">      </v>
          </cell>
          <cell r="F3104" t="str">
            <v>17.</v>
          </cell>
          <cell r="G3104" t="str">
            <v xml:space="preserve">Transmissores de Vazão Eletromagnéticos Tipo de Inserção - Assentamento  </v>
          </cell>
          <cell r="H3104" t="str">
            <v xml:space="preserve">      </v>
          </cell>
          <cell r="I3104">
            <v>0</v>
          </cell>
          <cell r="J3104">
            <v>0</v>
          </cell>
          <cell r="K3104">
            <v>0</v>
          </cell>
          <cell r="L3104">
            <v>0</v>
          </cell>
        </row>
        <row r="3105">
          <cell r="D3105" t="str">
            <v xml:space="preserve">  Q. 79.            </v>
          </cell>
          <cell r="E3105" t="str">
            <v xml:space="preserve">      </v>
          </cell>
          <cell r="F3105" t="str">
            <v>17.1.</v>
          </cell>
          <cell r="G3105" t="str">
            <v>Assentamento de transmissor eletromagnético de vazão, DANFOSS, composto por sensor, conversor de sinal MAG 5000, c/indicação de vazão, precisão de 0,5%, 220 Vac, saída analógica de corrente (4-20 mA), saída de pulsos 24 Vcc p/ totalização da vazão, relé d</v>
          </cell>
          <cell r="H3105" t="str">
            <v xml:space="preserve">      </v>
          </cell>
          <cell r="I3105">
            <v>0</v>
          </cell>
          <cell r="J3105">
            <v>0</v>
          </cell>
          <cell r="K3105">
            <v>0</v>
          </cell>
          <cell r="L3105">
            <v>0</v>
          </cell>
        </row>
        <row r="3106">
          <cell r="D3106" t="str">
            <v xml:space="preserve">  Q. 80.            </v>
          </cell>
          <cell r="E3106" t="str">
            <v>CP0009</v>
          </cell>
          <cell r="F3106" t="str">
            <v>17.1.1.</v>
          </cell>
          <cell r="G3106" t="str">
            <v xml:space="preserve">Assentamento de transmissor eletromagnético de vazão, DANFOSS, composto por sensor, conversor de sinal MAG 5000, c/ indicação de vazão, precisão de 0,5%, 220 Vac, saída analógica de corrente (4-20 mA), saída de pulsos 24 Vcc p/ totalização da vazão, relé </v>
          </cell>
          <cell r="H3106" t="str">
            <v xml:space="preserve">un    </v>
          </cell>
          <cell r="I3106">
            <v>1</v>
          </cell>
          <cell r="J3106">
            <v>1383.09</v>
          </cell>
          <cell r="K3106">
            <v>1153.8499999999999</v>
          </cell>
          <cell r="L3106">
            <v>1383.09</v>
          </cell>
        </row>
        <row r="3107">
          <cell r="D3107" t="str">
            <v xml:space="preserve">  Q. 81.            </v>
          </cell>
          <cell r="E3107" t="str">
            <v>CP0009</v>
          </cell>
          <cell r="F3107" t="str">
            <v>17.1.2.</v>
          </cell>
          <cell r="G3107" t="str">
            <v xml:space="preserve">Assentamento de transmissor eletromagnético de vazão, DANFOSS, composto por sensor, conversor de sinal MAG 5000, c/ indicação de vazão, precisão de 0,5%, 220 Vac, saída analógica de corrente (4-20 mA), saída de pulsos 24 Vcc p/ totalização da vazão, relé </v>
          </cell>
          <cell r="H3107" t="str">
            <v xml:space="preserve">un    </v>
          </cell>
          <cell r="I3107">
            <v>1</v>
          </cell>
          <cell r="J3107">
            <v>1383.09</v>
          </cell>
          <cell r="K3107">
            <v>1153.8499999999999</v>
          </cell>
          <cell r="L3107">
            <v>1383.09</v>
          </cell>
        </row>
        <row r="3108">
          <cell r="D3108" t="str">
            <v xml:space="preserve">  Q. 82.            </v>
          </cell>
          <cell r="E3108" t="str">
            <v>CP0009</v>
          </cell>
          <cell r="F3108" t="str">
            <v>17.1.3.</v>
          </cell>
          <cell r="G3108" t="str">
            <v xml:space="preserve">Assentamento de transmissor eletromagnético de vazão, DANFOSS, composto por sensor, conversor de sinal MAG 5000, c/ indicação de vazão, precisão de 0,5%, 220 Vac, saída analógica de corrente (4-20 mA), saída de pulsos 24 Vcc p/ totalização da vazão, relé </v>
          </cell>
          <cell r="H3108" t="str">
            <v xml:space="preserve">un    </v>
          </cell>
          <cell r="I3108">
            <v>1</v>
          </cell>
          <cell r="J3108">
            <v>1383.09</v>
          </cell>
          <cell r="K3108">
            <v>1153.8499999999999</v>
          </cell>
          <cell r="L3108">
            <v>1383.09</v>
          </cell>
        </row>
        <row r="3109">
          <cell r="D3109" t="str">
            <v xml:space="preserve">  Q. 83.            </v>
          </cell>
          <cell r="E3109" t="str">
            <v>CP0009</v>
          </cell>
          <cell r="F3109" t="str">
            <v>17.1.4.</v>
          </cell>
          <cell r="G3109" t="str">
            <v xml:space="preserve">Assentamento de transmissor eletromagnético de vazão, DANFOSS, composto por sensor, conversor de sinal MAG 5000, c/ indicação de vazão, precisão de 0,5%, 220 Vac, saída analógica de corrente (4-20 mA), saída de pulsos 24 Vcc p/ totalização da vazão, relé </v>
          </cell>
          <cell r="H3109" t="str">
            <v xml:space="preserve">un    </v>
          </cell>
          <cell r="I3109">
            <v>2</v>
          </cell>
          <cell r="J3109">
            <v>1383.09</v>
          </cell>
          <cell r="K3109">
            <v>1153.8499999999999</v>
          </cell>
          <cell r="L3109">
            <v>2766.18</v>
          </cell>
        </row>
        <row r="3110">
          <cell r="D3110" t="str">
            <v xml:space="preserve">  Q. 84.            </v>
          </cell>
          <cell r="E3110" t="str">
            <v>CP0009</v>
          </cell>
          <cell r="F3110" t="str">
            <v>17.1.5.</v>
          </cell>
          <cell r="G3110" t="str">
            <v xml:space="preserve">Assentamento de transmissor eletromagnético de vazão, DANFOSS, composto por sensor, conversor de sinal MAG 5000, c/ indicação de vazão, precisão de 0,5%, 220 Vac, saída analógica de corrente (4-20 mA), saída de pulsos 24 Vcc p/ totalização da vazão, relé </v>
          </cell>
          <cell r="H3110" t="str">
            <v xml:space="preserve">un    </v>
          </cell>
          <cell r="I3110">
            <v>8</v>
          </cell>
          <cell r="J3110">
            <v>1383.09</v>
          </cell>
          <cell r="K3110">
            <v>1153.8499999999999</v>
          </cell>
          <cell r="L3110">
            <v>11064.72</v>
          </cell>
        </row>
        <row r="3111">
          <cell r="D3111" t="str">
            <v xml:space="preserve">  Q. 85.            </v>
          </cell>
          <cell r="E3111" t="str">
            <v>CP0009</v>
          </cell>
          <cell r="F3111" t="str">
            <v>17.1.6.</v>
          </cell>
          <cell r="G3111" t="str">
            <v xml:space="preserve">Assentamento de transmissor eletromagnético de vazão, DANFOSS, composto por sensor, conversor de sinal MAG 5000, c/ indicação de vazão, precisão de 0,5%, 220 Vac, saída analógica de corrente (4-20 mA), saída de pulsos 24 Vcc p/ totalização da vazão, relé </v>
          </cell>
          <cell r="H3111" t="str">
            <v xml:space="preserve">un    </v>
          </cell>
          <cell r="I3111">
            <v>1</v>
          </cell>
          <cell r="J3111">
            <v>1383.09</v>
          </cell>
          <cell r="K3111">
            <v>1153.8499999999999</v>
          </cell>
          <cell r="L3111">
            <v>1383.09</v>
          </cell>
        </row>
        <row r="3112">
          <cell r="D3112" t="str">
            <v xml:space="preserve">  Q. 86.            </v>
          </cell>
          <cell r="E3112" t="str">
            <v>CP0009</v>
          </cell>
          <cell r="F3112" t="str">
            <v>17.1.7.</v>
          </cell>
          <cell r="G3112" t="str">
            <v xml:space="preserve">Assentamento de transmissor eletromagnético de vazão, DANFOSS, composto por sensor, conversor de sinal MAG 5000, c/ indicação de vazão, precisão de 0,5%, 220 Vac, saída analógica de corrente (4-20 mA), saída de pulsos 24 Vcc p/ totalização da vazão, relé </v>
          </cell>
          <cell r="H3112" t="str">
            <v xml:space="preserve">un    </v>
          </cell>
          <cell r="I3112">
            <v>1</v>
          </cell>
          <cell r="J3112">
            <v>1383.09</v>
          </cell>
          <cell r="K3112">
            <v>1153.8499999999999</v>
          </cell>
          <cell r="L3112">
            <v>1383.09</v>
          </cell>
        </row>
        <row r="3113">
          <cell r="D3113" t="str">
            <v xml:space="preserve">  Q. 87.            </v>
          </cell>
          <cell r="E3113" t="str">
            <v>CP0009</v>
          </cell>
          <cell r="F3113" t="str">
            <v>17.1.8.</v>
          </cell>
          <cell r="G3113" t="str">
            <v xml:space="preserve">Assentamento de transmissor eletromagnético de vazão, DANFOSS, composto por sensor, conversor de sinal MAG 5000, c/ indicação de vazão, precisão de 0,5%, 220 Vac, saída analógica de corrente (4-20 mA), saída de pulsos 24 Vcc p/ totalização da vazão, relé </v>
          </cell>
          <cell r="H3113" t="str">
            <v xml:space="preserve">un    </v>
          </cell>
          <cell r="I3113">
            <v>1</v>
          </cell>
          <cell r="J3113">
            <v>1383.09</v>
          </cell>
          <cell r="K3113">
            <v>1153.8499999999999</v>
          </cell>
          <cell r="L3113">
            <v>1383.09</v>
          </cell>
        </row>
        <row r="3114">
          <cell r="D3114" t="str">
            <v xml:space="preserve">  Q. 88.            </v>
          </cell>
          <cell r="E3114" t="str">
            <v>CP0009</v>
          </cell>
          <cell r="F3114" t="str">
            <v>17.1.9.</v>
          </cell>
          <cell r="G3114" t="str">
            <v xml:space="preserve">Assentamento de transmissor eletromagnético de vazão, DANFOSS, composto por sensor, conversor de sinal MAG 5000, c/ indicação de vazão, precisão de 0,5%, 220 Vac, saída analógica de corrente (4-20 mA), saída de pulsos 24 Vcc p/ totalização da vazão, relé </v>
          </cell>
          <cell r="H3114" t="str">
            <v xml:space="preserve">un    </v>
          </cell>
          <cell r="I3114">
            <v>1</v>
          </cell>
          <cell r="J3114">
            <v>1383.09</v>
          </cell>
          <cell r="K3114">
            <v>1153.8499999999999</v>
          </cell>
          <cell r="L3114">
            <v>1383.09</v>
          </cell>
        </row>
        <row r="3115">
          <cell r="D3115" t="str">
            <v xml:space="preserve">  Q. 89.            </v>
          </cell>
          <cell r="E3115" t="str">
            <v xml:space="preserve">      </v>
          </cell>
          <cell r="F3115" t="str">
            <v>18.</v>
          </cell>
          <cell r="G3115" t="str">
            <v xml:space="preserve">Transmissores de Vazão Eletromagnéticos- Tipo Sonda de Inserção - Assentamento  </v>
          </cell>
          <cell r="H3115" t="str">
            <v xml:space="preserve">      </v>
          </cell>
          <cell r="I3115">
            <v>0</v>
          </cell>
          <cell r="J3115">
            <v>0</v>
          </cell>
          <cell r="K3115">
            <v>0</v>
          </cell>
          <cell r="L3115">
            <v>0</v>
          </cell>
        </row>
        <row r="3116">
          <cell r="D3116" t="str">
            <v xml:space="preserve">  Q. 90.            </v>
          </cell>
          <cell r="E3116" t="str">
            <v xml:space="preserve">      </v>
          </cell>
          <cell r="F3116" t="str">
            <v>18.1.</v>
          </cell>
          <cell r="G3116" t="str">
            <v xml:space="preserve">Assentamento de transmissor eletromagnético de vazão, ABB Aqua Probe II, composto por sensor, transmissor de sinal, c/ indicação de vazão, precisão de 0,5%, , 220 Vac, saída analógica de corrente (4-20 mA), saída de pulsos 24 Vcc p/ totalização da vazão  </v>
          </cell>
          <cell r="H3116" t="str">
            <v xml:space="preserve">      </v>
          </cell>
          <cell r="I3116">
            <v>0</v>
          </cell>
          <cell r="J3116">
            <v>0</v>
          </cell>
          <cell r="K3116">
            <v>0</v>
          </cell>
          <cell r="L3116">
            <v>0</v>
          </cell>
        </row>
        <row r="3117">
          <cell r="D3117" t="str">
            <v xml:space="preserve">  Q. 91.            </v>
          </cell>
          <cell r="E3117" t="str">
            <v>CP0018</v>
          </cell>
          <cell r="F3117" t="str">
            <v>18.1.2.</v>
          </cell>
          <cell r="G3117" t="str">
            <v>Assentamento de transmissor eletromagnético de vazão, ABB Aqua Probe II, composto por sensor, transmissor de sinal, c/ indicação de vazão, precisão de 0,5%, , 220 Vac, saída analógica de corrente (4-20 mA), saída de pulsos 24 Vcc p/ totalização da vazão V</v>
          </cell>
          <cell r="H3117" t="str">
            <v xml:space="preserve">un    </v>
          </cell>
          <cell r="I3117">
            <v>1</v>
          </cell>
          <cell r="J3117">
            <v>2768.31</v>
          </cell>
          <cell r="K3117">
            <v>2307.6999999999998</v>
          </cell>
          <cell r="L3117">
            <v>2768.31</v>
          </cell>
        </row>
        <row r="3118">
          <cell r="D3118" t="str">
            <v xml:space="preserve">  Q. 92.            </v>
          </cell>
          <cell r="E3118" t="str">
            <v>CP0018</v>
          </cell>
          <cell r="F3118" t="str">
            <v>18.1.3.</v>
          </cell>
          <cell r="G3118" t="str">
            <v>Assentamento de transmissor eletromagnético de vazão, ABB Aqua Probe II, composto por sensor, transmissor de sinal, c/ indicação de vazão, precisão de 0,5%, , 220 Vac, saída analógica de corrente (4-20 mA), saída de pulsos 24 Vcc p/ totalização da vazão V</v>
          </cell>
          <cell r="H3118" t="str">
            <v xml:space="preserve">un    </v>
          </cell>
          <cell r="I3118">
            <v>1</v>
          </cell>
          <cell r="J3118">
            <v>2768.31</v>
          </cell>
          <cell r="K3118">
            <v>2307.6999999999998</v>
          </cell>
          <cell r="L3118">
            <v>2768.31</v>
          </cell>
        </row>
        <row r="3119">
          <cell r="D3119" t="str">
            <v xml:space="preserve">  R.  1.            </v>
          </cell>
          <cell r="E3119" t="str">
            <v xml:space="preserve">      </v>
          </cell>
          <cell r="F3119" t="str">
            <v>0.XVI.II.</v>
          </cell>
          <cell r="G3119" t="str">
            <v xml:space="preserve">GERAL  </v>
          </cell>
          <cell r="H3119" t="str">
            <v xml:space="preserve">      </v>
          </cell>
          <cell r="I3119">
            <v>0</v>
          </cell>
          <cell r="J3119">
            <v>0</v>
          </cell>
          <cell r="K3119">
            <v>0</v>
          </cell>
          <cell r="L3119">
            <v>0</v>
          </cell>
        </row>
        <row r="3120">
          <cell r="D3120" t="str">
            <v xml:space="preserve">  R.  2.            </v>
          </cell>
          <cell r="E3120" t="str">
            <v xml:space="preserve">      </v>
          </cell>
          <cell r="F3120" t="str">
            <v>1.</v>
          </cell>
          <cell r="G3120" t="str">
            <v xml:space="preserve">Serviços Preliminares  </v>
          </cell>
          <cell r="H3120" t="str">
            <v xml:space="preserve">      </v>
          </cell>
          <cell r="I3120">
            <v>0</v>
          </cell>
          <cell r="J3120">
            <v>0</v>
          </cell>
          <cell r="K3120">
            <v>0</v>
          </cell>
          <cell r="L3120">
            <v>0</v>
          </cell>
        </row>
        <row r="3121">
          <cell r="D3121" t="str">
            <v xml:space="preserve">  R.  3.            </v>
          </cell>
          <cell r="E3121" t="str">
            <v>CP1175</v>
          </cell>
          <cell r="F3121" t="str">
            <v>1.1.</v>
          </cell>
          <cell r="G3121" t="str">
            <v xml:space="preserve">Placa de obra instalada  </v>
          </cell>
          <cell r="H3121" t="str">
            <v xml:space="preserve">m2    </v>
          </cell>
          <cell r="I3121">
            <v>60</v>
          </cell>
          <cell r="J3121">
            <v>97.31</v>
          </cell>
          <cell r="K3121">
            <v>121.49</v>
          </cell>
          <cell r="L3121">
            <v>5838.6</v>
          </cell>
        </row>
        <row r="3122">
          <cell r="D3122" t="str">
            <v xml:space="preserve">  R.  4.            </v>
          </cell>
          <cell r="E3122" t="str">
            <v>CP1177</v>
          </cell>
          <cell r="F3122" t="str">
            <v>1.2.</v>
          </cell>
          <cell r="G3122" t="str">
            <v xml:space="preserve">Barracão de obra em chapa compensada 10 mm com cobertura de cimento amianto 5 mm  </v>
          </cell>
          <cell r="H3122" t="str">
            <v xml:space="preserve">m2    </v>
          </cell>
          <cell r="I3122">
            <v>600</v>
          </cell>
          <cell r="J3122">
            <v>123.57</v>
          </cell>
          <cell r="K3122">
            <v>152.85</v>
          </cell>
          <cell r="L3122">
            <v>74142</v>
          </cell>
        </row>
        <row r="3123">
          <cell r="D3123" t="str">
            <v xml:space="preserve">  R.  5.            </v>
          </cell>
          <cell r="E3123" t="str">
            <v>CP1163</v>
          </cell>
          <cell r="F3123" t="str">
            <v>1.3.</v>
          </cell>
          <cell r="G3123" t="str">
            <v xml:space="preserve">Locacão da obra de edificação com execução de gabarito  </v>
          </cell>
          <cell r="H3123" t="str">
            <v xml:space="preserve">m2    </v>
          </cell>
          <cell r="I3123">
            <v>6600</v>
          </cell>
          <cell r="J3123">
            <v>4.3099999999999996</v>
          </cell>
          <cell r="K3123">
            <v>3.61</v>
          </cell>
          <cell r="L3123">
            <v>28446</v>
          </cell>
        </row>
        <row r="3124">
          <cell r="D3124" t="str">
            <v xml:space="preserve">  R.  6.            </v>
          </cell>
          <cell r="E3124" t="str">
            <v>CP1152</v>
          </cell>
          <cell r="F3124" t="str">
            <v>1.4.</v>
          </cell>
          <cell r="G3124" t="str">
            <v xml:space="preserve">Limpeza mecânica do terreno  </v>
          </cell>
          <cell r="H3124" t="str">
            <v xml:space="preserve">m2    </v>
          </cell>
          <cell r="I3124">
            <v>6600</v>
          </cell>
          <cell r="J3124">
            <v>0.55000000000000004</v>
          </cell>
          <cell r="K3124">
            <v>0.46</v>
          </cell>
          <cell r="L3124">
            <v>3630</v>
          </cell>
        </row>
        <row r="3125">
          <cell r="D3125" t="str">
            <v xml:space="preserve">  R.  7.            </v>
          </cell>
          <cell r="E3125" t="str">
            <v>CP1176</v>
          </cell>
          <cell r="F3125" t="str">
            <v>1.5.</v>
          </cell>
          <cell r="G3125" t="str">
            <v xml:space="preserve">Tapume de madeira em chapa de madeirit 6 mm  </v>
          </cell>
          <cell r="H3125" t="str">
            <v xml:space="preserve">m2    </v>
          </cell>
          <cell r="I3125">
            <v>2200</v>
          </cell>
          <cell r="J3125">
            <v>44.42</v>
          </cell>
          <cell r="K3125">
            <v>54.86</v>
          </cell>
          <cell r="L3125">
            <v>97724</v>
          </cell>
        </row>
        <row r="3126">
          <cell r="D3126" t="str">
            <v xml:space="preserve">  R.  8.            </v>
          </cell>
          <cell r="E3126" t="str">
            <v>CP0498</v>
          </cell>
          <cell r="F3126" t="str">
            <v>1.6.</v>
          </cell>
          <cell r="G3126" t="str">
            <v xml:space="preserve">Cadastro da obra (As built)  </v>
          </cell>
          <cell r="H3126" t="str">
            <v xml:space="preserve">Vb    </v>
          </cell>
          <cell r="I3126">
            <v>1</v>
          </cell>
          <cell r="J3126">
            <v>246907.49</v>
          </cell>
          <cell r="K3126">
            <v>211960</v>
          </cell>
          <cell r="L3126">
            <v>246907.49</v>
          </cell>
        </row>
        <row r="3127">
          <cell r="D3127" t="str">
            <v xml:space="preserve">  R.  9.            </v>
          </cell>
          <cell r="E3127" t="str">
            <v>CP1506</v>
          </cell>
          <cell r="F3127" t="str">
            <v>1.7.</v>
          </cell>
          <cell r="G3127" t="str">
            <v>Transplantio de árvores com diâmetro do caule superior a 25 cm, sob a supervisão da NOVACAP, incluindo a retirada da árvore com raíz, carga e transporte, descarga e replantio no viveiro da NOVACAP e plantio de 20 novas árvores da mesma espécie em áreas de</v>
          </cell>
          <cell r="H3127" t="str">
            <v xml:space="preserve">ud    </v>
          </cell>
          <cell r="I3127">
            <v>40</v>
          </cell>
          <cell r="J3127">
            <v>578.65</v>
          </cell>
          <cell r="K3127">
            <v>826.64</v>
          </cell>
          <cell r="L3127">
            <v>23146</v>
          </cell>
        </row>
        <row r="3128">
          <cell r="D3128" t="str">
            <v xml:space="preserve">  R. 10.            </v>
          </cell>
          <cell r="E3128" t="str">
            <v>CP1732</v>
          </cell>
          <cell r="F3128" t="str">
            <v>1.8.</v>
          </cell>
          <cell r="G3128" t="str">
            <v xml:space="preserve">Derrubada de árvore com diâmetro superior a 25 cm, incluindo a retirada da raiz, carga, transporte e descarga em local apropriado  </v>
          </cell>
          <cell r="H3128" t="str">
            <v xml:space="preserve">ud    </v>
          </cell>
          <cell r="I3128">
            <v>40</v>
          </cell>
          <cell r="J3128">
            <v>101.03</v>
          </cell>
          <cell r="K3128">
            <v>84.78</v>
          </cell>
          <cell r="L3128">
            <v>4041.2</v>
          </cell>
        </row>
        <row r="3129">
          <cell r="D3129" t="str">
            <v xml:space="preserve">  R. 11.            </v>
          </cell>
          <cell r="E3129" t="str">
            <v xml:space="preserve">      </v>
          </cell>
          <cell r="F3129" t="str">
            <v>2.</v>
          </cell>
          <cell r="G3129" t="str">
            <v xml:space="preserve">Urbanização  </v>
          </cell>
          <cell r="H3129" t="str">
            <v xml:space="preserve">      </v>
          </cell>
          <cell r="I3129">
            <v>0</v>
          </cell>
          <cell r="J3129">
            <v>0</v>
          </cell>
          <cell r="K3129">
            <v>0</v>
          </cell>
          <cell r="L3129">
            <v>0</v>
          </cell>
        </row>
        <row r="3130">
          <cell r="D3130" t="str">
            <v xml:space="preserve">  R. 12.            </v>
          </cell>
          <cell r="E3130" t="str">
            <v>CP0645</v>
          </cell>
          <cell r="F3130" t="str">
            <v>2.1.</v>
          </cell>
          <cell r="G3130" t="str">
            <v xml:space="preserve">Fornecimento e assentamento de meio fio Des. 01/67-DU  </v>
          </cell>
          <cell r="H3130" t="str">
            <v xml:space="preserve">m     </v>
          </cell>
          <cell r="I3130">
            <v>1254</v>
          </cell>
          <cell r="J3130">
            <v>19.45</v>
          </cell>
          <cell r="K3130">
            <v>16.34</v>
          </cell>
          <cell r="L3130">
            <v>24390.3</v>
          </cell>
        </row>
        <row r="3131">
          <cell r="D3131" t="str">
            <v xml:space="preserve">  R. 13.            </v>
          </cell>
          <cell r="E3131" t="str">
            <v>CP0647</v>
          </cell>
          <cell r="F3131" t="str">
            <v>2.2.</v>
          </cell>
          <cell r="G3131" t="str">
            <v xml:space="preserve">Remoção de meios fios com aproveitamentos das pedras  </v>
          </cell>
          <cell r="H3131" t="str">
            <v xml:space="preserve">m     </v>
          </cell>
          <cell r="I3131">
            <v>345</v>
          </cell>
          <cell r="J3131">
            <v>5.6</v>
          </cell>
          <cell r="K3131">
            <v>8</v>
          </cell>
          <cell r="L3131">
            <v>1932</v>
          </cell>
        </row>
        <row r="3132">
          <cell r="D3132" t="str">
            <v xml:space="preserve">  R. 14.            </v>
          </cell>
          <cell r="E3132" t="str">
            <v>CP0643</v>
          </cell>
          <cell r="F3132" t="str">
            <v>2.3.</v>
          </cell>
          <cell r="G3132" t="str">
            <v xml:space="preserve">Plantio de grama em placas  </v>
          </cell>
          <cell r="H3132" t="str">
            <v xml:space="preserve">m2    </v>
          </cell>
          <cell r="I3132">
            <v>35000</v>
          </cell>
          <cell r="J3132">
            <v>7.72</v>
          </cell>
          <cell r="K3132">
            <v>8.7200000000000006</v>
          </cell>
          <cell r="L3132">
            <v>270200</v>
          </cell>
        </row>
        <row r="3133">
          <cell r="D3133" t="str">
            <v xml:space="preserve">  R. 15.            </v>
          </cell>
          <cell r="E3133" t="str">
            <v>CP0247</v>
          </cell>
          <cell r="F3133" t="str">
            <v>2.4.</v>
          </cell>
          <cell r="G3133" t="str">
            <v xml:space="preserve">Terra vegetal  </v>
          </cell>
          <cell r="H3133" t="str">
            <v xml:space="preserve">m3    </v>
          </cell>
          <cell r="I3133">
            <v>1600</v>
          </cell>
          <cell r="J3133">
            <v>49.39</v>
          </cell>
          <cell r="K3133">
            <v>54.2</v>
          </cell>
          <cell r="L3133">
            <v>79024</v>
          </cell>
        </row>
        <row r="3134">
          <cell r="D3134" t="str">
            <v xml:space="preserve">  R. 16.            </v>
          </cell>
          <cell r="E3134" t="str">
            <v>CP0646</v>
          </cell>
          <cell r="F3134" t="str">
            <v>2.5.</v>
          </cell>
          <cell r="G3134" t="str">
            <v xml:space="preserve">Recomposição de asfalto  </v>
          </cell>
          <cell r="H3134" t="str">
            <v xml:space="preserve">m3    </v>
          </cell>
          <cell r="I3134">
            <v>39</v>
          </cell>
          <cell r="J3134">
            <v>820.73</v>
          </cell>
          <cell r="K3134">
            <v>1068.96</v>
          </cell>
          <cell r="L3134">
            <v>32008.47</v>
          </cell>
        </row>
        <row r="3135">
          <cell r="D3135" t="str">
            <v xml:space="preserve">  R. 17.            </v>
          </cell>
          <cell r="E3135" t="str">
            <v xml:space="preserve">      </v>
          </cell>
          <cell r="F3135" t="str">
            <v>2.6.</v>
          </cell>
          <cell r="G3135" t="str">
            <v xml:space="preserve">Construção da Pista Asfáltica  </v>
          </cell>
          <cell r="H3135" t="str">
            <v xml:space="preserve">      </v>
          </cell>
          <cell r="I3135">
            <v>0</v>
          </cell>
          <cell r="J3135">
            <v>0</v>
          </cell>
          <cell r="K3135">
            <v>0</v>
          </cell>
          <cell r="L3135">
            <v>0</v>
          </cell>
        </row>
        <row r="3136">
          <cell r="D3136" t="str">
            <v xml:space="preserve">  R. 18.            </v>
          </cell>
          <cell r="E3136" t="str">
            <v>CP2263</v>
          </cell>
          <cell r="F3136" t="str">
            <v>2.6.1.</v>
          </cell>
          <cell r="G3136" t="str">
            <v xml:space="preserve">Regularização e compactação do subleito  </v>
          </cell>
          <cell r="H3136" t="str">
            <v xml:space="preserve">m2    </v>
          </cell>
          <cell r="I3136">
            <v>9397</v>
          </cell>
          <cell r="J3136">
            <v>1.72</v>
          </cell>
          <cell r="K3136">
            <v>1.44</v>
          </cell>
          <cell r="L3136">
            <v>16162.84</v>
          </cell>
        </row>
        <row r="3137">
          <cell r="D3137" t="str">
            <v xml:space="preserve">  R. 19.            </v>
          </cell>
          <cell r="E3137" t="str">
            <v>CP1065</v>
          </cell>
          <cell r="F3137" t="str">
            <v>2.6.2.</v>
          </cell>
          <cell r="G3137" t="str">
            <v xml:space="preserve">Sub-base ou base de brita graduada  </v>
          </cell>
          <cell r="H3137" t="str">
            <v xml:space="preserve">m3    </v>
          </cell>
          <cell r="I3137">
            <v>2374</v>
          </cell>
          <cell r="J3137">
            <v>104.2</v>
          </cell>
          <cell r="K3137">
            <v>87.47</v>
          </cell>
          <cell r="L3137">
            <v>247370.8</v>
          </cell>
        </row>
        <row r="3138">
          <cell r="D3138" t="str">
            <v xml:space="preserve">  R. 20.            </v>
          </cell>
          <cell r="E3138" t="str">
            <v>CP2070</v>
          </cell>
          <cell r="F3138" t="str">
            <v>2.6.3.</v>
          </cell>
          <cell r="G3138" t="str">
            <v xml:space="preserve">Sub-base ou base de solo estabilizado granulometricamente (mão de obra e equipamento)  </v>
          </cell>
          <cell r="H3138" t="str">
            <v xml:space="preserve">m3    </v>
          </cell>
          <cell r="I3138">
            <v>2374</v>
          </cell>
          <cell r="J3138">
            <v>8.5</v>
          </cell>
          <cell r="K3138">
            <v>7.12</v>
          </cell>
          <cell r="L3138">
            <v>20179</v>
          </cell>
        </row>
        <row r="3139">
          <cell r="D3139" t="str">
            <v xml:space="preserve">  R. 21.            </v>
          </cell>
          <cell r="E3139" t="str">
            <v>CP2335</v>
          </cell>
          <cell r="F3139" t="str">
            <v>2.6.4.</v>
          </cell>
          <cell r="G3139" t="str">
            <v xml:space="preserve">Imprimação (mão de obra e equipamento)  </v>
          </cell>
          <cell r="H3139" t="str">
            <v xml:space="preserve">m2    </v>
          </cell>
          <cell r="I3139">
            <v>9397</v>
          </cell>
          <cell r="J3139">
            <v>0.1</v>
          </cell>
          <cell r="K3139">
            <v>0.09</v>
          </cell>
          <cell r="L3139">
            <v>939.7</v>
          </cell>
        </row>
        <row r="3140">
          <cell r="D3140" t="str">
            <v xml:space="preserve">  R. 22.            </v>
          </cell>
          <cell r="E3140" t="str">
            <v>CP2336</v>
          </cell>
          <cell r="F3140" t="str">
            <v>2.6.5.</v>
          </cell>
          <cell r="G3140" t="str">
            <v xml:space="preserve">Pintura de ligação (mão de obra e equipamento)  </v>
          </cell>
          <cell r="H3140" t="str">
            <v xml:space="preserve">m2    </v>
          </cell>
          <cell r="I3140">
            <v>9397</v>
          </cell>
          <cell r="J3140">
            <v>0.1</v>
          </cell>
          <cell r="K3140">
            <v>0.09</v>
          </cell>
          <cell r="L3140">
            <v>939.7</v>
          </cell>
        </row>
        <row r="3141">
          <cell r="D3141" t="str">
            <v xml:space="preserve">  R. 23.            </v>
          </cell>
          <cell r="E3141" t="str">
            <v>CP0506</v>
          </cell>
          <cell r="F3141" t="str">
            <v>2.6.6.</v>
          </cell>
          <cell r="G3141" t="str">
            <v xml:space="preserve">Fornecimento de CM-30 para imprimação  </v>
          </cell>
          <cell r="H3141" t="str">
            <v xml:space="preserve">ton   </v>
          </cell>
          <cell r="I3141">
            <v>15</v>
          </cell>
          <cell r="J3141">
            <v>2236.9699999999998</v>
          </cell>
          <cell r="K3141">
            <v>1870.92</v>
          </cell>
          <cell r="L3141">
            <v>33554.550000000003</v>
          </cell>
        </row>
        <row r="3142">
          <cell r="D3142" t="str">
            <v xml:space="preserve">  R. 24.            </v>
          </cell>
          <cell r="E3142" t="str">
            <v>CP0506</v>
          </cell>
          <cell r="F3142" t="str">
            <v>2.6.7.</v>
          </cell>
          <cell r="G3142" t="str">
            <v xml:space="preserve">Fornecimento de CM-30 para pintura de ligação  </v>
          </cell>
          <cell r="H3142" t="str">
            <v xml:space="preserve">ton   </v>
          </cell>
          <cell r="I3142">
            <v>5</v>
          </cell>
          <cell r="J3142">
            <v>2236.9699999999998</v>
          </cell>
          <cell r="K3142">
            <v>1870.92</v>
          </cell>
          <cell r="L3142">
            <v>11184.85</v>
          </cell>
        </row>
        <row r="3143">
          <cell r="D3143" t="str">
            <v xml:space="preserve">  R. 25.            </v>
          </cell>
          <cell r="E3143" t="str">
            <v>CP0505</v>
          </cell>
          <cell r="F3143" t="str">
            <v>2.6.8.</v>
          </cell>
          <cell r="G3143" t="str">
            <v xml:space="preserve">Fornecimento de cimento asfáltico de petróleo CAP-20  </v>
          </cell>
          <cell r="H3143" t="str">
            <v xml:space="preserve">ton   </v>
          </cell>
          <cell r="I3143">
            <v>85</v>
          </cell>
          <cell r="J3143">
            <v>1526.57</v>
          </cell>
          <cell r="K3143">
            <v>1456.03</v>
          </cell>
          <cell r="L3143">
            <v>129758.45</v>
          </cell>
        </row>
        <row r="3144">
          <cell r="D3144" t="str">
            <v xml:space="preserve">  R. 26.            </v>
          </cell>
          <cell r="E3144" t="str">
            <v>CP0001</v>
          </cell>
          <cell r="F3144" t="str">
            <v>2.6.9.</v>
          </cell>
          <cell r="G3144" t="str">
            <v xml:space="preserve">Espalhamento e compactação de concreto betuminoso usinado a quente (CBUQ)  </v>
          </cell>
          <cell r="H3144" t="str">
            <v xml:space="preserve">m3    </v>
          </cell>
          <cell r="I3144">
            <v>470</v>
          </cell>
          <cell r="J3144">
            <v>94.44</v>
          </cell>
          <cell r="K3144">
            <v>134.91</v>
          </cell>
          <cell r="L3144">
            <v>44386.8</v>
          </cell>
        </row>
        <row r="3145">
          <cell r="D3145" t="str">
            <v xml:space="preserve">  R. 27.            </v>
          </cell>
          <cell r="E3145" t="str">
            <v>CP0002</v>
          </cell>
          <cell r="F3145" t="str">
            <v>2.6.10.</v>
          </cell>
          <cell r="G3145" t="str">
            <v xml:space="preserve">Transporte de concreto betuminoso usinado a quente até 5 km, inclusive carga e descarga  </v>
          </cell>
          <cell r="H3145" t="str">
            <v xml:space="preserve">m3    </v>
          </cell>
          <cell r="I3145">
            <v>470</v>
          </cell>
          <cell r="J3145">
            <v>7.86</v>
          </cell>
          <cell r="K3145">
            <v>11.08</v>
          </cell>
          <cell r="L3145">
            <v>3694.2</v>
          </cell>
        </row>
        <row r="3146">
          <cell r="D3146" t="str">
            <v xml:space="preserve">  R. 28.            </v>
          </cell>
          <cell r="E3146" t="str">
            <v>CP2287</v>
          </cell>
          <cell r="F3146" t="str">
            <v>2.6.11.</v>
          </cell>
          <cell r="G3146" t="str">
            <v xml:space="preserve">Momento extraordinário de concreto betuminoso usinado a quente para distância além de 5 km (20 km)  </v>
          </cell>
          <cell r="H3146" t="str">
            <v xml:space="preserve">m3xkm </v>
          </cell>
          <cell r="I3146">
            <v>7050</v>
          </cell>
          <cell r="J3146">
            <v>0.89</v>
          </cell>
          <cell r="K3146">
            <v>0.74</v>
          </cell>
          <cell r="L3146">
            <v>6274.5</v>
          </cell>
        </row>
        <row r="3147">
          <cell r="D3147" t="str">
            <v xml:space="preserve">  R. 29.            </v>
          </cell>
          <cell r="E3147" t="str">
            <v xml:space="preserve">      </v>
          </cell>
          <cell r="F3147" t="str">
            <v>3.</v>
          </cell>
          <cell r="G3147" t="str">
            <v xml:space="preserve">Instalações de Incêndio  </v>
          </cell>
          <cell r="H3147" t="str">
            <v xml:space="preserve">      </v>
          </cell>
          <cell r="I3147">
            <v>0</v>
          </cell>
          <cell r="J3147">
            <v>0</v>
          </cell>
          <cell r="K3147">
            <v>0</v>
          </cell>
          <cell r="L3147">
            <v>0</v>
          </cell>
        </row>
        <row r="3148">
          <cell r="D3148" t="str">
            <v xml:space="preserve">  R. 30.            </v>
          </cell>
          <cell r="E3148" t="str">
            <v xml:space="preserve">      </v>
          </cell>
          <cell r="F3148" t="str">
            <v>3.1.</v>
          </cell>
          <cell r="G3148" t="str">
            <v xml:space="preserve">Fornecimento de equipamentos contra incêndios e acessórios  </v>
          </cell>
          <cell r="H3148" t="str">
            <v xml:space="preserve">      </v>
          </cell>
          <cell r="I3148">
            <v>0</v>
          </cell>
          <cell r="J3148">
            <v>0</v>
          </cell>
          <cell r="K3148">
            <v>0</v>
          </cell>
          <cell r="L3148">
            <v>0</v>
          </cell>
        </row>
        <row r="3149">
          <cell r="D3149" t="str">
            <v xml:space="preserve">  R. 31.            </v>
          </cell>
          <cell r="E3149" t="str">
            <v>CP1631</v>
          </cell>
          <cell r="F3149" t="str">
            <v>3.1.1.</v>
          </cell>
          <cell r="G3149" t="str">
            <v xml:space="preserve">Extintor de incêndio tipo gás carbônico (CO2) - 6 kg  </v>
          </cell>
          <cell r="H3149" t="str">
            <v xml:space="preserve">un    </v>
          </cell>
          <cell r="I3149">
            <v>10</v>
          </cell>
          <cell r="J3149">
            <v>455.29</v>
          </cell>
          <cell r="K3149">
            <v>379.9</v>
          </cell>
          <cell r="L3149">
            <v>4552.8999999999996</v>
          </cell>
        </row>
        <row r="3150">
          <cell r="D3150" t="str">
            <v xml:space="preserve">  R. 32.            </v>
          </cell>
          <cell r="E3150" t="str">
            <v>CP1745</v>
          </cell>
          <cell r="F3150" t="str">
            <v>3.1.2.</v>
          </cell>
          <cell r="G3150" t="str">
            <v xml:space="preserve">Extintor de incêndio tipo água pressurizada (A.P) 10 litros  </v>
          </cell>
          <cell r="H3150" t="str">
            <v xml:space="preserve">un    </v>
          </cell>
          <cell r="I3150">
            <v>13</v>
          </cell>
          <cell r="J3150">
            <v>137.16999999999999</v>
          </cell>
          <cell r="K3150">
            <v>117.9</v>
          </cell>
          <cell r="L3150">
            <v>1783.21</v>
          </cell>
        </row>
        <row r="3151">
          <cell r="D3151" t="str">
            <v xml:space="preserve">  R. 33.            </v>
          </cell>
          <cell r="E3151" t="str">
            <v>CP2010</v>
          </cell>
          <cell r="F3151" t="str">
            <v>3.1.3.</v>
          </cell>
          <cell r="G3151" t="str">
            <v xml:space="preserve">Seta indicativa para extintor, inclusive suportes para fixação de extintores, parafusos e buchas  </v>
          </cell>
          <cell r="H3151" t="str">
            <v xml:space="preserve">un    </v>
          </cell>
          <cell r="I3151">
            <v>23</v>
          </cell>
          <cell r="J3151">
            <v>3.14</v>
          </cell>
          <cell r="K3151">
            <v>2.62</v>
          </cell>
          <cell r="L3151">
            <v>72.22</v>
          </cell>
        </row>
        <row r="3152">
          <cell r="D3152" t="str">
            <v xml:space="preserve">  R. 34.            </v>
          </cell>
          <cell r="E3152" t="str">
            <v xml:space="preserve">      </v>
          </cell>
          <cell r="F3152" t="str">
            <v>4.</v>
          </cell>
          <cell r="G3152" t="str">
            <v xml:space="preserve">Demolição, Enchimento e Ajardinamento da Área do Antigo Sistema de Tratamento de Água de Lavagem  </v>
          </cell>
          <cell r="H3152" t="str">
            <v xml:space="preserve">      </v>
          </cell>
          <cell r="I3152">
            <v>0</v>
          </cell>
          <cell r="J3152">
            <v>0</v>
          </cell>
          <cell r="K3152">
            <v>0</v>
          </cell>
          <cell r="L3152">
            <v>0</v>
          </cell>
        </row>
        <row r="3153">
          <cell r="D3153" t="str">
            <v xml:space="preserve">  R. 35.            </v>
          </cell>
          <cell r="E3153" t="str">
            <v>CP0186</v>
          </cell>
          <cell r="F3153" t="str">
            <v>4.1.</v>
          </cell>
          <cell r="G3153" t="str">
            <v xml:space="preserve">Demolição de concreto armado, incluindo carga, transporte e botafora  </v>
          </cell>
          <cell r="H3153" t="str">
            <v xml:space="preserve">m³    </v>
          </cell>
          <cell r="I3153">
            <v>1500</v>
          </cell>
          <cell r="J3153">
            <v>266.88</v>
          </cell>
          <cell r="K3153">
            <v>222.93</v>
          </cell>
          <cell r="L3153">
            <v>400320</v>
          </cell>
        </row>
        <row r="3154">
          <cell r="D3154" t="str">
            <v xml:space="preserve">  R. 36.            </v>
          </cell>
          <cell r="E3154" t="str">
            <v>CP0185</v>
          </cell>
          <cell r="F3154" t="str">
            <v>4.2.</v>
          </cell>
          <cell r="G3154" t="str">
            <v xml:space="preserve">Enchimento com material de 1ª categoria, inclusive escavação, carga, transporte, descarga e espalhamento  </v>
          </cell>
          <cell r="H3154" t="str">
            <v xml:space="preserve">m³    </v>
          </cell>
          <cell r="I3154">
            <v>12000</v>
          </cell>
          <cell r="J3154">
            <v>24.66</v>
          </cell>
          <cell r="K3154">
            <v>20.64</v>
          </cell>
          <cell r="L3154">
            <v>295920</v>
          </cell>
        </row>
        <row r="3155">
          <cell r="D3155" t="str">
            <v xml:space="preserve">  R. 37.            </v>
          </cell>
          <cell r="E3155" t="str">
            <v>CP0247</v>
          </cell>
          <cell r="F3155" t="str">
            <v>4.3.</v>
          </cell>
          <cell r="G3155" t="str">
            <v xml:space="preserve">Terra vegetal  </v>
          </cell>
          <cell r="H3155" t="str">
            <v xml:space="preserve">m³    </v>
          </cell>
          <cell r="I3155">
            <v>942</v>
          </cell>
          <cell r="J3155">
            <v>49.39</v>
          </cell>
          <cell r="K3155">
            <v>54.2</v>
          </cell>
          <cell r="L3155">
            <v>46525.38</v>
          </cell>
        </row>
        <row r="3156">
          <cell r="D3156" t="str">
            <v xml:space="preserve">  R. 38.            </v>
          </cell>
          <cell r="E3156" t="str">
            <v>CP1267</v>
          </cell>
          <cell r="F3156" t="str">
            <v>4.4.</v>
          </cell>
          <cell r="G3156" t="str">
            <v xml:space="preserve">Projeto e implantação de paisagismo  </v>
          </cell>
          <cell r="H3156" t="str">
            <v xml:space="preserve">vb    </v>
          </cell>
          <cell r="I3156">
            <v>1</v>
          </cell>
          <cell r="J3156">
            <v>21785.96</v>
          </cell>
          <cell r="K3156">
            <v>20825</v>
          </cell>
          <cell r="L3156">
            <v>21785.96</v>
          </cell>
        </row>
        <row r="3157">
          <cell r="D3157" t="str">
            <v xml:space="preserve">  R. 39.            </v>
          </cell>
          <cell r="E3157" t="str">
            <v>CP0643</v>
          </cell>
          <cell r="F3157" t="str">
            <v>4.5.</v>
          </cell>
          <cell r="G3157" t="str">
            <v xml:space="preserve">Plantio de grama em placas  </v>
          </cell>
          <cell r="H3157" t="str">
            <v xml:space="preserve">m2    </v>
          </cell>
          <cell r="I3157">
            <v>700</v>
          </cell>
          <cell r="J3157">
            <v>7.72</v>
          </cell>
          <cell r="K3157">
            <v>8.7200000000000006</v>
          </cell>
          <cell r="L3157">
            <v>5404</v>
          </cell>
        </row>
        <row r="3158">
          <cell r="D3158" t="str">
            <v xml:space="preserve">  S.  1.            </v>
          </cell>
          <cell r="E3158" t="str">
            <v xml:space="preserve">      </v>
          </cell>
          <cell r="F3158" t="str">
            <v>1.</v>
          </cell>
          <cell r="G3158" t="str">
            <v xml:space="preserve">Diversos  </v>
          </cell>
          <cell r="H3158" t="str">
            <v xml:space="preserve">      </v>
          </cell>
          <cell r="I3158">
            <v>0</v>
          </cell>
          <cell r="J3158">
            <v>0</v>
          </cell>
          <cell r="K3158">
            <v>0</v>
          </cell>
          <cell r="L3158">
            <v>0</v>
          </cell>
        </row>
        <row r="3159">
          <cell r="D3159" t="str">
            <v xml:space="preserve">  S.  2.            </v>
          </cell>
          <cell r="E3159" t="str">
            <v>CP0618</v>
          </cell>
          <cell r="F3159" t="str">
            <v>1.1.</v>
          </cell>
          <cell r="G3159" t="str">
            <v xml:space="preserve">Mobilização, manutenção e desmobilização do canteiro de obras incluindo no mínimo 03 mesas com gaveta, 06 cadeiras 01, prancheta com banco, 02 microcomputadores Pentium IV 2.2 GHZ, 256 MB RAM, 32 MB p/ vídeo, HD 30 GB, Driver interno p/ disquete 1.44, CD </v>
          </cell>
          <cell r="H3159" t="str">
            <v xml:space="preserve">vb    </v>
          </cell>
          <cell r="I3159">
            <v>1</v>
          </cell>
          <cell r="J3159">
            <v>597346.15</v>
          </cell>
          <cell r="K3159">
            <v>498106</v>
          </cell>
          <cell r="L3159">
            <v>597346.15</v>
          </cell>
        </row>
        <row r="3160">
          <cell r="D3160" t="str">
            <v xml:space="preserve">  S.  3.            </v>
          </cell>
          <cell r="E3160" t="str">
            <v xml:space="preserve">      </v>
          </cell>
          <cell r="F3160" t="str">
            <v>2.</v>
          </cell>
          <cell r="G3160" t="str">
            <v xml:space="preserve">Serviços Complementares  </v>
          </cell>
          <cell r="H3160" t="str">
            <v xml:space="preserve">      </v>
          </cell>
          <cell r="I3160">
            <v>0</v>
          </cell>
          <cell r="J3160">
            <v>0</v>
          </cell>
          <cell r="K3160">
            <v>0</v>
          </cell>
          <cell r="L3160">
            <v>0</v>
          </cell>
        </row>
        <row r="3161">
          <cell r="D3161" t="str">
            <v xml:space="preserve">  S.  4.            </v>
          </cell>
          <cell r="E3161" t="str">
            <v>CP1216</v>
          </cell>
          <cell r="F3161" t="str">
            <v>2.1.</v>
          </cell>
          <cell r="G3161" t="str">
            <v xml:space="preserve">Manual de operação e manutenção  </v>
          </cell>
          <cell r="H3161" t="str">
            <v xml:space="preserve">vb    </v>
          </cell>
          <cell r="I3161">
            <v>1</v>
          </cell>
          <cell r="J3161">
            <v>72887.75</v>
          </cell>
          <cell r="K3161">
            <v>71536.5</v>
          </cell>
          <cell r="L3161">
            <v>72887.75</v>
          </cell>
        </row>
        <row r="3162">
          <cell r="D3162" t="str">
            <v xml:space="preserve">  S.  5.            </v>
          </cell>
          <cell r="E3162" t="str">
            <v xml:space="preserve">      </v>
          </cell>
          <cell r="F3162" t="str">
            <v>2.2.</v>
          </cell>
          <cell r="G3162" t="str">
            <v xml:space="preserve">Pré-Operação  </v>
          </cell>
          <cell r="H3162" t="str">
            <v xml:space="preserve">      </v>
          </cell>
          <cell r="I3162">
            <v>0</v>
          </cell>
          <cell r="J3162">
            <v>0</v>
          </cell>
          <cell r="K3162">
            <v>0</v>
          </cell>
          <cell r="L3162">
            <v>0</v>
          </cell>
        </row>
        <row r="3163">
          <cell r="D3163" t="str">
            <v xml:space="preserve">  S.  6.            </v>
          </cell>
          <cell r="E3163" t="str">
            <v>CP0188</v>
          </cell>
          <cell r="F3163" t="str">
            <v>2.2.1.</v>
          </cell>
          <cell r="G3163" t="str">
            <v xml:space="preserve">Treinamento de técnicos da CAESB  </v>
          </cell>
          <cell r="H3163" t="str">
            <v xml:space="preserve">curso </v>
          </cell>
          <cell r="I3163">
            <v>3</v>
          </cell>
          <cell r="J3163">
            <v>18782.52</v>
          </cell>
          <cell r="K3163">
            <v>15720</v>
          </cell>
          <cell r="L3163">
            <v>56347.56</v>
          </cell>
        </row>
        <row r="3164">
          <cell r="D3164" t="str">
            <v xml:space="preserve">  S.  7.            </v>
          </cell>
          <cell r="E3164" t="str">
            <v>CP0190</v>
          </cell>
          <cell r="F3164" t="str">
            <v>2.2.2.</v>
          </cell>
          <cell r="G3164" t="str">
            <v xml:space="preserve">Pré-operação da ETA  </v>
          </cell>
          <cell r="H3164" t="str">
            <v xml:space="preserve">vb    </v>
          </cell>
          <cell r="I3164">
            <v>1</v>
          </cell>
          <cell r="J3164">
            <v>96738.97</v>
          </cell>
          <cell r="K3164">
            <v>91962</v>
          </cell>
          <cell r="L3164">
            <v>96738.97</v>
          </cell>
        </row>
        <row r="3165">
          <cell r="D3165" t="str">
            <v xml:space="preserve">  S.  8.            </v>
          </cell>
          <cell r="E3165" t="str">
            <v>CP0189</v>
          </cell>
          <cell r="F3165" t="str">
            <v>2.3.</v>
          </cell>
          <cell r="G3165" t="str">
            <v xml:space="preserve">Assessoria técnica do projetista e consultor à obra  </v>
          </cell>
          <cell r="H3165" t="str">
            <v xml:space="preserve">vb    </v>
          </cell>
          <cell r="I3165">
            <v>1</v>
          </cell>
          <cell r="J3165">
            <v>111722.85</v>
          </cell>
          <cell r="K3165">
            <v>95656.2</v>
          </cell>
          <cell r="L3165">
            <v>111722.85</v>
          </cell>
        </row>
        <row r="3166">
          <cell r="D3166" t="str">
            <v xml:space="preserve">  S.  9.            </v>
          </cell>
          <cell r="E3166" t="str">
            <v>CP1207</v>
          </cell>
          <cell r="F3166" t="str">
            <v>2.4.</v>
          </cell>
          <cell r="G3166" t="str">
            <v xml:space="preserve">Maquete física com dimensões 2,00 x 2,00 e maquete eletrônica, conforme especificações  </v>
          </cell>
          <cell r="H3166" t="str">
            <v xml:space="preserve">vb    </v>
          </cell>
          <cell r="I3166">
            <v>1</v>
          </cell>
          <cell r="J3166">
            <v>148933.15</v>
          </cell>
          <cell r="K3166">
            <v>128765.7</v>
          </cell>
          <cell r="L3166">
            <v>148933.15</v>
          </cell>
        </row>
        <row r="3167">
          <cell r="D3167" t="str">
            <v xml:space="preserve">  S. 10.            </v>
          </cell>
          <cell r="E3167" t="str">
            <v>CP1256</v>
          </cell>
          <cell r="F3167" t="str">
            <v>2.5.</v>
          </cell>
          <cell r="G3167" t="str">
            <v xml:space="preserve">Placa de identificação luminoso da ETA, tipo out-door luminoso  </v>
          </cell>
          <cell r="H3167" t="str">
            <v xml:space="preserve">vb    </v>
          </cell>
          <cell r="I3167">
            <v>1</v>
          </cell>
          <cell r="J3167">
            <v>26406.59</v>
          </cell>
          <cell r="K3167">
            <v>22270</v>
          </cell>
          <cell r="L3167">
            <v>26406.59</v>
          </cell>
        </row>
        <row r="3168">
          <cell r="D3168" t="str">
            <v xml:space="preserve">  S. 11.            </v>
          </cell>
          <cell r="E3168" t="str">
            <v>CP1485</v>
          </cell>
          <cell r="F3168" t="str">
            <v>2.6.</v>
          </cell>
          <cell r="G3168" t="str">
            <v xml:space="preserve">Plaquetas de acrílico para identificação de cômodos  </v>
          </cell>
          <cell r="H3168" t="str">
            <v xml:space="preserve">vb    </v>
          </cell>
          <cell r="I3168">
            <v>1</v>
          </cell>
          <cell r="J3168">
            <v>94.19</v>
          </cell>
          <cell r="K3168">
            <v>78.599999999999994</v>
          </cell>
          <cell r="L3168">
            <v>94.19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
      <sheetName val="TOTALIZADOR"/>
    </sheetNames>
    <sheetDataSet>
      <sheetData sheetId="0"/>
      <sheetData sheetId="1">
        <row r="2">
          <cell r="B2" t="str">
            <v>SEGMENTO</v>
          </cell>
        </row>
        <row r="3">
          <cell r="B3" t="str">
            <v>A&amp;B</v>
          </cell>
        </row>
        <row r="4">
          <cell r="B4" t="str">
            <v>BRINDES</v>
          </cell>
        </row>
        <row r="5">
          <cell r="B5" t="str">
            <v>C. VISUAL</v>
          </cell>
        </row>
        <row r="6">
          <cell r="B6" t="str">
            <v>DECORAÇÃO</v>
          </cell>
        </row>
        <row r="7">
          <cell r="B7" t="str">
            <v>DOCUMENTAÇÃO</v>
          </cell>
        </row>
        <row r="8">
          <cell r="B8" t="str">
            <v>EQUIPAMENTOS</v>
          </cell>
        </row>
        <row r="9">
          <cell r="B9" t="str">
            <v>CENOGRAFIA</v>
          </cell>
        </row>
        <row r="10">
          <cell r="B10" t="str">
            <v>ESTRUTURA</v>
          </cell>
        </row>
        <row r="11">
          <cell r="B11" t="str">
            <v>ELETRICA</v>
          </cell>
        </row>
        <row r="12">
          <cell r="B12" t="str">
            <v>GRÁFICA</v>
          </cell>
        </row>
        <row r="13">
          <cell r="B13" t="str">
            <v>HIDRAULICA</v>
          </cell>
        </row>
        <row r="14">
          <cell r="B14" t="str">
            <v>MEIOS DE HOSP.</v>
          </cell>
        </row>
        <row r="15">
          <cell r="B15" t="str">
            <v>MOBILIÁRIO</v>
          </cell>
        </row>
        <row r="16">
          <cell r="B16" t="str">
            <v>OUTROS ITENS</v>
          </cell>
        </row>
        <row r="17">
          <cell r="B17" t="str">
            <v>CONTAINER</v>
          </cell>
        </row>
        <row r="18">
          <cell r="B18" t="str">
            <v>RH</v>
          </cell>
        </row>
        <row r="19">
          <cell r="B19" t="str">
            <v>TRANSPORTE</v>
          </cell>
        </row>
        <row r="20">
          <cell r="B20" t="str">
            <v>CUSTO DE PRODUÇÃO</v>
          </cell>
        </row>
      </sheetData>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EC5E1-4CA8-4E3A-9163-7D38C1CB4C78}">
  <dimension ref="A3:G50"/>
  <sheetViews>
    <sheetView tabSelected="1" view="pageBreakPreview" topLeftCell="A7" zoomScaleNormal="100" zoomScaleSheetLayoutView="100" workbookViewId="0">
      <selection activeCell="D21" sqref="D21"/>
    </sheetView>
  </sheetViews>
  <sheetFormatPr defaultColWidth="8.83203125" defaultRowHeight="12.75" x14ac:dyDescent="0.2"/>
  <cols>
    <col min="1" max="1" width="8.83203125" style="1"/>
    <col min="2" max="2" width="65" style="1" customWidth="1"/>
    <col min="3" max="7" width="21.1640625" style="17" bestFit="1" customWidth="1"/>
    <col min="8" max="16384" width="8.83203125" style="1"/>
  </cols>
  <sheetData>
    <row r="3" spans="1:7" ht="31.9" customHeight="1" x14ac:dyDescent="0.2">
      <c r="A3" s="30" t="s">
        <v>0</v>
      </c>
      <c r="B3" s="30"/>
      <c r="C3" s="30"/>
      <c r="D3" s="30"/>
      <c r="E3" s="30"/>
      <c r="F3" s="30"/>
      <c r="G3" s="30"/>
    </row>
    <row r="4" spans="1:7" ht="31.9" customHeight="1" x14ac:dyDescent="0.2">
      <c r="A4" s="2"/>
      <c r="B4" s="2"/>
      <c r="C4" s="2"/>
      <c r="D4" s="2"/>
      <c r="E4" s="2"/>
      <c r="F4" s="2"/>
      <c r="G4" s="2"/>
    </row>
    <row r="5" spans="1:7" x14ac:dyDescent="0.2">
      <c r="C5" s="3" t="s">
        <v>1</v>
      </c>
      <c r="D5" s="3" t="s">
        <v>2</v>
      </c>
      <c r="E5" s="3" t="s">
        <v>3</v>
      </c>
      <c r="F5" s="3" t="s">
        <v>4</v>
      </c>
      <c r="G5" s="3" t="s">
        <v>5</v>
      </c>
    </row>
    <row r="6" spans="1:7" x14ac:dyDescent="0.2">
      <c r="B6" s="4" t="s">
        <v>6</v>
      </c>
      <c r="C6" s="3">
        <v>1000000</v>
      </c>
      <c r="D6" s="3">
        <v>2000000</v>
      </c>
      <c r="E6" s="3">
        <v>3000000</v>
      </c>
      <c r="F6" s="3">
        <v>4000000</v>
      </c>
      <c r="G6" s="3">
        <v>5000000</v>
      </c>
    </row>
    <row r="7" spans="1:7" x14ac:dyDescent="0.2">
      <c r="C7" s="1"/>
      <c r="D7" s="1"/>
      <c r="E7" s="1"/>
      <c r="F7" s="1"/>
      <c r="G7" s="1"/>
    </row>
    <row r="8" spans="1:7" x14ac:dyDescent="0.2">
      <c r="A8" s="5" t="s">
        <v>7</v>
      </c>
      <c r="B8" s="5" t="s">
        <v>8</v>
      </c>
      <c r="C8" s="6"/>
      <c r="D8" s="6"/>
      <c r="E8" s="6"/>
      <c r="F8" s="6"/>
      <c r="G8" s="6"/>
    </row>
    <row r="9" spans="1:7" x14ac:dyDescent="0.2">
      <c r="A9" s="6"/>
      <c r="B9" s="6"/>
      <c r="C9" s="7"/>
      <c r="D9" s="7"/>
      <c r="E9" s="7"/>
      <c r="F9" s="7"/>
      <c r="G9" s="7"/>
    </row>
    <row r="10" spans="1:7" x14ac:dyDescent="0.2">
      <c r="A10" s="6" t="s">
        <v>9</v>
      </c>
      <c r="B10" s="6" t="s">
        <v>51</v>
      </c>
      <c r="C10" s="7">
        <v>28000</v>
      </c>
      <c r="D10" s="7">
        <v>28000</v>
      </c>
      <c r="E10" s="7">
        <v>28000</v>
      </c>
      <c r="F10" s="7">
        <v>28000</v>
      </c>
      <c r="G10" s="7">
        <v>28000</v>
      </c>
    </row>
    <row r="11" spans="1:7" x14ac:dyDescent="0.2">
      <c r="A11" s="6" t="s">
        <v>10</v>
      </c>
      <c r="B11" s="6" t="s">
        <v>52</v>
      </c>
      <c r="C11" s="7">
        <v>20000</v>
      </c>
      <c r="D11" s="7">
        <v>20000</v>
      </c>
      <c r="E11" s="7">
        <v>20000</v>
      </c>
      <c r="F11" s="7">
        <v>20000</v>
      </c>
      <c r="G11" s="7">
        <v>20000</v>
      </c>
    </row>
    <row r="12" spans="1:7" x14ac:dyDescent="0.2">
      <c r="A12" s="6" t="s">
        <v>11</v>
      </c>
      <c r="B12" s="6" t="s">
        <v>53</v>
      </c>
      <c r="C12" s="7">
        <v>5000</v>
      </c>
      <c r="D12" s="7">
        <v>5000</v>
      </c>
      <c r="E12" s="7">
        <v>5000</v>
      </c>
      <c r="F12" s="7">
        <v>5000</v>
      </c>
      <c r="G12" s="7">
        <v>5000</v>
      </c>
    </row>
    <row r="13" spans="1:7" x14ac:dyDescent="0.2">
      <c r="A13" s="6" t="s">
        <v>12</v>
      </c>
      <c r="B13" s="6" t="s">
        <v>54</v>
      </c>
      <c r="C13" s="7">
        <v>4000</v>
      </c>
      <c r="D13" s="7">
        <v>4000</v>
      </c>
      <c r="E13" s="7">
        <v>4000</v>
      </c>
      <c r="F13" s="7">
        <v>4000</v>
      </c>
      <c r="G13" s="7">
        <v>4000</v>
      </c>
    </row>
    <row r="14" spans="1:7" x14ac:dyDescent="0.2">
      <c r="A14" s="6" t="s">
        <v>13</v>
      </c>
      <c r="B14" s="6" t="s">
        <v>49</v>
      </c>
      <c r="C14" s="7">
        <v>5000</v>
      </c>
      <c r="D14" s="7">
        <v>5000</v>
      </c>
      <c r="E14" s="7">
        <v>5000</v>
      </c>
      <c r="F14" s="7">
        <v>5000</v>
      </c>
      <c r="G14" s="7">
        <v>5000</v>
      </c>
    </row>
    <row r="15" spans="1:7" x14ac:dyDescent="0.2">
      <c r="A15" s="6" t="s">
        <v>14</v>
      </c>
      <c r="B15" s="6" t="s">
        <v>50</v>
      </c>
      <c r="C15" s="7">
        <v>3500</v>
      </c>
      <c r="D15" s="7">
        <v>3500</v>
      </c>
      <c r="E15" s="7">
        <v>3500</v>
      </c>
      <c r="F15" s="7">
        <v>3500</v>
      </c>
      <c r="G15" s="7">
        <v>3500</v>
      </c>
    </row>
    <row r="16" spans="1:7" x14ac:dyDescent="0.2">
      <c r="A16" s="6" t="s">
        <v>15</v>
      </c>
      <c r="B16" s="6" t="s">
        <v>55</v>
      </c>
      <c r="C16" s="7">
        <v>8000</v>
      </c>
      <c r="D16" s="7">
        <v>8000</v>
      </c>
      <c r="E16" s="7">
        <v>8000</v>
      </c>
      <c r="F16" s="7">
        <v>8000</v>
      </c>
      <c r="G16" s="7">
        <v>8000</v>
      </c>
    </row>
    <row r="17" spans="1:7" x14ac:dyDescent="0.2">
      <c r="A17" s="6" t="s">
        <v>16</v>
      </c>
      <c r="B17" s="6" t="s">
        <v>56</v>
      </c>
      <c r="C17" s="7">
        <v>16800</v>
      </c>
      <c r="D17" s="7">
        <v>16800</v>
      </c>
      <c r="E17" s="7">
        <v>16800</v>
      </c>
      <c r="F17" s="7">
        <v>16800</v>
      </c>
      <c r="G17" s="7">
        <v>16800</v>
      </c>
    </row>
    <row r="18" spans="1:7" x14ac:dyDescent="0.2">
      <c r="A18" s="6" t="s">
        <v>17</v>
      </c>
      <c r="B18" s="6" t="s">
        <v>58</v>
      </c>
      <c r="C18" s="7">
        <v>13000</v>
      </c>
      <c r="D18" s="7">
        <v>13000</v>
      </c>
      <c r="E18" s="7">
        <v>13000</v>
      </c>
      <c r="F18" s="7">
        <v>13000</v>
      </c>
      <c r="G18" s="7">
        <v>13000</v>
      </c>
    </row>
    <row r="19" spans="1:7" x14ac:dyDescent="0.2">
      <c r="A19" s="6" t="s">
        <v>18</v>
      </c>
      <c r="B19" s="6" t="s">
        <v>57</v>
      </c>
      <c r="C19" s="7">
        <v>25000</v>
      </c>
      <c r="D19" s="7">
        <v>25000</v>
      </c>
      <c r="E19" s="7">
        <v>25000</v>
      </c>
      <c r="F19" s="7">
        <v>25000</v>
      </c>
      <c r="G19" s="7">
        <v>25000</v>
      </c>
    </row>
    <row r="20" spans="1:7" x14ac:dyDescent="0.2">
      <c r="A20" s="6" t="s">
        <v>19</v>
      </c>
      <c r="B20" s="6" t="s">
        <v>59</v>
      </c>
      <c r="C20" s="7">
        <v>10000</v>
      </c>
      <c r="D20" s="7">
        <v>10000</v>
      </c>
      <c r="E20" s="7">
        <v>10000</v>
      </c>
      <c r="F20" s="7">
        <v>10000</v>
      </c>
      <c r="G20" s="7">
        <v>10000</v>
      </c>
    </row>
    <row r="21" spans="1:7" x14ac:dyDescent="0.2">
      <c r="A21" s="6" t="s">
        <v>20</v>
      </c>
      <c r="B21" s="6" t="s">
        <v>62</v>
      </c>
      <c r="C21" s="7">
        <v>30000</v>
      </c>
      <c r="D21" s="7">
        <v>30000</v>
      </c>
      <c r="E21" s="7">
        <v>30000</v>
      </c>
      <c r="F21" s="7">
        <v>30000</v>
      </c>
      <c r="G21" s="7">
        <v>30000</v>
      </c>
    </row>
    <row r="22" spans="1:7" x14ac:dyDescent="0.2">
      <c r="A22" s="6" t="s">
        <v>21</v>
      </c>
      <c r="B22" s="6" t="s">
        <v>61</v>
      </c>
      <c r="C22" s="7">
        <v>5000</v>
      </c>
      <c r="D22" s="7">
        <v>5000</v>
      </c>
      <c r="E22" s="7">
        <v>5000</v>
      </c>
      <c r="F22" s="7">
        <v>5000</v>
      </c>
      <c r="G22" s="7">
        <v>5000</v>
      </c>
    </row>
    <row r="23" spans="1:7" s="10" customFormat="1" x14ac:dyDescent="0.2">
      <c r="A23" s="5"/>
      <c r="B23" s="8" t="s">
        <v>22</v>
      </c>
      <c r="C23" s="9">
        <f>SUM(C10:C22)</f>
        <v>173300</v>
      </c>
      <c r="D23" s="9">
        <f t="shared" ref="D23:G23" si="0">SUM(D10:D22)</f>
        <v>173300</v>
      </c>
      <c r="E23" s="9">
        <f t="shared" si="0"/>
        <v>173300</v>
      </c>
      <c r="F23" s="9">
        <f t="shared" si="0"/>
        <v>173300</v>
      </c>
      <c r="G23" s="9">
        <f t="shared" si="0"/>
        <v>173300</v>
      </c>
    </row>
    <row r="25" spans="1:7" s="10" customFormat="1" x14ac:dyDescent="0.2">
      <c r="A25" s="11" t="s">
        <v>23</v>
      </c>
      <c r="B25" s="11" t="s">
        <v>24</v>
      </c>
      <c r="C25" s="12"/>
      <c r="D25" s="12"/>
      <c r="E25" s="12"/>
      <c r="F25" s="12"/>
      <c r="G25" s="12"/>
    </row>
    <row r="26" spans="1:7" x14ac:dyDescent="0.2">
      <c r="A26" s="13"/>
      <c r="B26" s="13"/>
      <c r="C26" s="14"/>
      <c r="D26" s="14"/>
      <c r="E26" s="14"/>
      <c r="F26" s="14"/>
      <c r="G26" s="14"/>
    </row>
    <row r="27" spans="1:7" x14ac:dyDescent="0.2">
      <c r="A27" s="13" t="s">
        <v>25</v>
      </c>
      <c r="B27" s="13" t="s">
        <v>26</v>
      </c>
      <c r="C27" s="14">
        <f>2500*20</f>
        <v>50000</v>
      </c>
      <c r="D27" s="14">
        <f t="shared" ref="D27:G27" si="1">2500*20</f>
        <v>50000</v>
      </c>
      <c r="E27" s="14">
        <f t="shared" si="1"/>
        <v>50000</v>
      </c>
      <c r="F27" s="14">
        <f t="shared" si="1"/>
        <v>50000</v>
      </c>
      <c r="G27" s="14">
        <f t="shared" si="1"/>
        <v>50000</v>
      </c>
    </row>
    <row r="28" spans="1:7" x14ac:dyDescent="0.2">
      <c r="A28" s="13" t="s">
        <v>27</v>
      </c>
      <c r="B28" s="13" t="s">
        <v>28</v>
      </c>
      <c r="C28" s="14">
        <f>4000*20</f>
        <v>80000</v>
      </c>
      <c r="D28" s="14">
        <f t="shared" ref="D28:G28" si="2">4000*20</f>
        <v>80000</v>
      </c>
      <c r="E28" s="14">
        <f t="shared" si="2"/>
        <v>80000</v>
      </c>
      <c r="F28" s="14">
        <f t="shared" si="2"/>
        <v>80000</v>
      </c>
      <c r="G28" s="14">
        <f t="shared" si="2"/>
        <v>80000</v>
      </c>
    </row>
    <row r="29" spans="1:7" s="10" customFormat="1" x14ac:dyDescent="0.2">
      <c r="A29" s="11"/>
      <c r="B29" s="15" t="s">
        <v>22</v>
      </c>
      <c r="C29" s="12">
        <f>SUM(C27:C28)</f>
        <v>130000</v>
      </c>
      <c r="D29" s="12">
        <f t="shared" ref="D29:G29" si="3">SUM(D27:D28)</f>
        <v>130000</v>
      </c>
      <c r="E29" s="12">
        <f t="shared" si="3"/>
        <v>130000</v>
      </c>
      <c r="F29" s="12">
        <f t="shared" si="3"/>
        <v>130000</v>
      </c>
      <c r="G29" s="12">
        <f t="shared" si="3"/>
        <v>130000</v>
      </c>
    </row>
    <row r="31" spans="1:7" s="25" customFormat="1" x14ac:dyDescent="0.2">
      <c r="A31" s="25" t="s">
        <v>29</v>
      </c>
      <c r="B31" s="25" t="s">
        <v>30</v>
      </c>
      <c r="C31" s="26"/>
      <c r="D31" s="26"/>
      <c r="E31" s="26"/>
      <c r="F31" s="26"/>
      <c r="G31" s="26"/>
    </row>
    <row r="32" spans="1:7" s="27" customFormat="1" x14ac:dyDescent="0.2">
      <c r="C32" s="28"/>
      <c r="D32" s="28"/>
      <c r="E32" s="28"/>
      <c r="F32" s="28"/>
      <c r="G32" s="28"/>
    </row>
    <row r="33" spans="1:7" s="27" customFormat="1" x14ac:dyDescent="0.2">
      <c r="A33" s="27" t="s">
        <v>31</v>
      </c>
      <c r="B33" s="27" t="s">
        <v>60</v>
      </c>
      <c r="C33" s="28">
        <f>C6*0.05</f>
        <v>50000</v>
      </c>
      <c r="D33" s="28">
        <f t="shared" ref="D33:G33" si="4">D6*0.05</f>
        <v>100000</v>
      </c>
      <c r="E33" s="28">
        <f t="shared" si="4"/>
        <v>150000</v>
      </c>
      <c r="F33" s="28">
        <f t="shared" si="4"/>
        <v>200000</v>
      </c>
      <c r="G33" s="28">
        <f t="shared" si="4"/>
        <v>250000</v>
      </c>
    </row>
    <row r="34" spans="1:7" s="27" customFormat="1" x14ac:dyDescent="0.2">
      <c r="A34" s="27" t="s">
        <v>32</v>
      </c>
      <c r="B34" s="27" t="s">
        <v>33</v>
      </c>
      <c r="C34" s="28">
        <f>C6*0.005</f>
        <v>5000</v>
      </c>
      <c r="D34" s="28">
        <f>D6*0.005</f>
        <v>10000</v>
      </c>
      <c r="E34" s="28">
        <f>E6*0.005</f>
        <v>15000</v>
      </c>
      <c r="F34" s="28">
        <f>F6*0.005</f>
        <v>20000</v>
      </c>
      <c r="G34" s="28">
        <f>G6*0.005</f>
        <v>25000</v>
      </c>
    </row>
    <row r="35" spans="1:7" s="27" customFormat="1" x14ac:dyDescent="0.2">
      <c r="A35" s="27" t="s">
        <v>34</v>
      </c>
      <c r="B35" s="27" t="s">
        <v>35</v>
      </c>
      <c r="C35" s="28">
        <f>C6*0.033333</f>
        <v>33333</v>
      </c>
      <c r="D35" s="28">
        <f>D6*0.033333</f>
        <v>66666</v>
      </c>
      <c r="E35" s="28">
        <f>E6*0.033333</f>
        <v>99999</v>
      </c>
      <c r="F35" s="28">
        <f>F6*0.033333</f>
        <v>133332</v>
      </c>
      <c r="G35" s="28">
        <f>G6*0.033333</f>
        <v>166665</v>
      </c>
    </row>
    <row r="36" spans="1:7" s="27" customFormat="1" x14ac:dyDescent="0.2">
      <c r="A36" s="27" t="s">
        <v>36</v>
      </c>
      <c r="B36" s="27" t="s">
        <v>37</v>
      </c>
      <c r="C36" s="28">
        <f>C6*0.025</f>
        <v>25000</v>
      </c>
      <c r="D36" s="28">
        <f t="shared" ref="D36:G36" si="5">D6*0.025</f>
        <v>50000</v>
      </c>
      <c r="E36" s="28">
        <f t="shared" si="5"/>
        <v>75000</v>
      </c>
      <c r="F36" s="28">
        <f t="shared" si="5"/>
        <v>100000</v>
      </c>
      <c r="G36" s="28">
        <f t="shared" si="5"/>
        <v>125000</v>
      </c>
    </row>
    <row r="37" spans="1:7" s="27" customFormat="1" x14ac:dyDescent="0.2">
      <c r="A37" s="27" t="s">
        <v>38</v>
      </c>
      <c r="B37" s="27" t="s">
        <v>39</v>
      </c>
      <c r="C37" s="28">
        <f>C6*0.01</f>
        <v>10000</v>
      </c>
      <c r="D37" s="28">
        <f t="shared" ref="D37:G37" si="6">D6*0.01</f>
        <v>20000</v>
      </c>
      <c r="E37" s="28">
        <f t="shared" si="6"/>
        <v>30000</v>
      </c>
      <c r="F37" s="28">
        <f t="shared" si="6"/>
        <v>40000</v>
      </c>
      <c r="G37" s="28">
        <f t="shared" si="6"/>
        <v>50000</v>
      </c>
    </row>
    <row r="38" spans="1:7" s="27" customFormat="1" x14ac:dyDescent="0.2">
      <c r="A38" s="27" t="s">
        <v>40</v>
      </c>
      <c r="B38" s="27" t="s">
        <v>41</v>
      </c>
      <c r="C38" s="28">
        <f>C37</f>
        <v>10000</v>
      </c>
      <c r="D38" s="28">
        <f t="shared" ref="D38:G38" si="7">D37</f>
        <v>20000</v>
      </c>
      <c r="E38" s="28">
        <f t="shared" si="7"/>
        <v>30000</v>
      </c>
      <c r="F38" s="28">
        <f t="shared" si="7"/>
        <v>40000</v>
      </c>
      <c r="G38" s="28">
        <f t="shared" si="7"/>
        <v>50000</v>
      </c>
    </row>
    <row r="39" spans="1:7" s="25" customFormat="1" x14ac:dyDescent="0.2">
      <c r="B39" s="29" t="s">
        <v>22</v>
      </c>
      <c r="C39" s="26">
        <f>SUM(C33:C38)</f>
        <v>133333</v>
      </c>
      <c r="D39" s="26">
        <f>SUM(D33:D38)</f>
        <v>266666</v>
      </c>
      <c r="E39" s="26">
        <f>SUM(E33:E38)</f>
        <v>399999</v>
      </c>
      <c r="F39" s="26">
        <f>SUM(F33:F38)</f>
        <v>533332</v>
      </c>
      <c r="G39" s="26">
        <f>SUM(G33:G38)</f>
        <v>666665</v>
      </c>
    </row>
    <row r="40" spans="1:7" x14ac:dyDescent="0.2">
      <c r="B40" s="16"/>
    </row>
    <row r="41" spans="1:7" s="10" customFormat="1" x14ac:dyDescent="0.2">
      <c r="A41" s="18" t="s">
        <v>42</v>
      </c>
      <c r="B41" s="18" t="s">
        <v>43</v>
      </c>
      <c r="C41" s="19"/>
      <c r="D41" s="19"/>
      <c r="E41" s="19"/>
      <c r="F41" s="19"/>
      <c r="G41" s="19"/>
    </row>
    <row r="42" spans="1:7" x14ac:dyDescent="0.2">
      <c r="A42" s="20"/>
      <c r="B42" s="20"/>
      <c r="C42" s="21"/>
      <c r="D42" s="21"/>
      <c r="E42" s="21"/>
      <c r="F42" s="21"/>
      <c r="G42" s="21"/>
    </row>
    <row r="43" spans="1:7" x14ac:dyDescent="0.2">
      <c r="A43" s="20" t="s">
        <v>44</v>
      </c>
      <c r="B43" s="20" t="s">
        <v>45</v>
      </c>
      <c r="C43" s="21">
        <f>C6*0.085</f>
        <v>85000</v>
      </c>
      <c r="D43" s="21">
        <f>D6*0.085</f>
        <v>170000</v>
      </c>
      <c r="E43" s="21">
        <f>E6*0.085</f>
        <v>255000.00000000003</v>
      </c>
      <c r="F43" s="21">
        <f>F6*0.085</f>
        <v>340000</v>
      </c>
      <c r="G43" s="21">
        <f>G6*0.085</f>
        <v>425000.00000000006</v>
      </c>
    </row>
    <row r="44" spans="1:7" x14ac:dyDescent="0.2">
      <c r="A44" s="20" t="s">
        <v>46</v>
      </c>
      <c r="B44" s="20" t="s">
        <v>47</v>
      </c>
      <c r="C44" s="21">
        <f>C6*0.085</f>
        <v>85000</v>
      </c>
      <c r="D44" s="21">
        <f>D6*0.085</f>
        <v>170000</v>
      </c>
      <c r="E44" s="21">
        <f>E6*0.085</f>
        <v>255000.00000000003</v>
      </c>
      <c r="F44" s="21">
        <f>F6*0.085</f>
        <v>340000</v>
      </c>
      <c r="G44" s="21">
        <f>G6*0.085</f>
        <v>425000.00000000006</v>
      </c>
    </row>
    <row r="45" spans="1:7" s="10" customFormat="1" x14ac:dyDescent="0.2">
      <c r="A45" s="18"/>
      <c r="B45" s="22" t="s">
        <v>22</v>
      </c>
      <c r="C45" s="19">
        <f>SUM(C43:C44)</f>
        <v>170000</v>
      </c>
      <c r="D45" s="19">
        <f t="shared" ref="D45:G45" si="8">SUM(D43:D44)</f>
        <v>340000</v>
      </c>
      <c r="E45" s="19">
        <f t="shared" si="8"/>
        <v>510000.00000000006</v>
      </c>
      <c r="F45" s="19">
        <f t="shared" si="8"/>
        <v>680000</v>
      </c>
      <c r="G45" s="19">
        <f t="shared" si="8"/>
        <v>850000.00000000012</v>
      </c>
    </row>
    <row r="47" spans="1:7" s="23" customFormat="1" x14ac:dyDescent="0.2">
      <c r="B47" s="23" t="s">
        <v>48</v>
      </c>
      <c r="C47" s="24">
        <f>C29+C45-C23-C39</f>
        <v>-6633</v>
      </c>
      <c r="D47" s="24">
        <f>D29+D45-D23-D39</f>
        <v>30034</v>
      </c>
      <c r="E47" s="24">
        <f>E29+E45-E23-E39</f>
        <v>66701</v>
      </c>
      <c r="F47" s="24">
        <f>F29+F45-F23-F39</f>
        <v>103368</v>
      </c>
      <c r="G47" s="24">
        <f>G29+G45-G23-G39</f>
        <v>140035.00000000012</v>
      </c>
    </row>
    <row r="50" spans="3:7" x14ac:dyDescent="0.2">
      <c r="C50" s="17">
        <f>C6*0.018333333333</f>
        <v>18333.333332999999</v>
      </c>
      <c r="D50" s="17">
        <f t="shared" ref="D50:G50" si="9">D6*0.018333333333</f>
        <v>36666.666665999997</v>
      </c>
      <c r="E50" s="17">
        <f t="shared" si="9"/>
        <v>54999.999999</v>
      </c>
      <c r="F50" s="17">
        <f t="shared" si="9"/>
        <v>73333.333331999995</v>
      </c>
      <c r="G50" s="17">
        <f t="shared" si="9"/>
        <v>91666.666664999997</v>
      </c>
    </row>
  </sheetData>
  <mergeCells count="1">
    <mergeCell ref="A3:G3"/>
  </mergeCells>
  <printOptions horizontalCentered="1"/>
  <pageMargins left="0.11811023622047245" right="0.11811023622047245" top="0.19685039370078741" bottom="0.19685039370078741" header="0.31496062992125984" footer="0.31496062992125984"/>
  <pageSetup paperSize="9" scale="8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ESTUDO DE VIABILIDADE LEILÃO</vt:lpstr>
      <vt:lpstr>'ESTUDO DE VIABILIDADE LEILÃO'!Area_de_impressao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Cristiano Varandas Ladeira</dc:creator>
  <cp:lastModifiedBy>Cristiano Varandas Ladeira</cp:lastModifiedBy>
  <dcterms:created xsi:type="dcterms:W3CDTF">2024-09-04T11:34:40Z</dcterms:created>
  <dcterms:modified xsi:type="dcterms:W3CDTF">2024-12-13T20:09:12Z</dcterms:modified>
</cp:coreProperties>
</file>